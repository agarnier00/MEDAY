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ables/table3.xml" ContentType="application/vnd.openxmlformats-officedocument.spreadsheetml.table+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Override PartName="/xl/ctrlProps/ctrlProp17.xml" ContentType="application/vnd.ms-excel.controlproperti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xl/ctrlProps/ctrlProp15.xml" ContentType="application/vnd.ms-excel.controlproperties+xml"/>
  <Override PartName="/xl/ctrlProps/ctrlProp16.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7.xml" ContentType="application/vnd.ms-excel.controlproperties+xml"/>
  <Override PartName="/xl/ctrlProps/ctrlProp14.xml" ContentType="application/vnd.ms-excel.controlproperties+xml"/>
  <Override PartName="/xl/ctrlProps/ctrlProp13.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12.xml" ContentType="application/vnd.ms-excel.controlproperties+xml"/>
  <Override PartName="/xl/ctrlProps/ctrlProp6.xml" ContentType="application/vnd.ms-excel.controlproperties+xml"/>
  <Override PartName="/xl/ctrlProps/ctrlProp11.xml" ContentType="application/vnd.ms-excel.controlproperties+xml"/>
  <Override PartName="/xl/ctrlProps/ctrlProp5.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pivotCache/pivotCacheRecords1.xml" ContentType="application/vnd.openxmlformats-officedocument.spreadsheetml.pivotCacheRecord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autoCompressPictures="0" defaultThemeVersion="124226"/>
  <bookViews>
    <workbookView xWindow="0" yWindow="0" windowWidth="19440" windowHeight="15600"/>
  </bookViews>
  <sheets>
    <sheet name="Codebook" sheetId="1" r:id="rId1"/>
    <sheet name="log" sheetId="2" r:id="rId2"/>
    <sheet name="Dr House test" sheetId="4" r:id="rId3"/>
    <sheet name="Feuil1" sheetId="3" r:id="rId4"/>
  </sheets>
  <definedNames>
    <definedName name="ACTIF">Codebook!$C$41:$C$67</definedName>
    <definedName name="_xlnm.Print_Titles" localSheetId="0">Codebook!$B:$C,Codebook!$11:$11</definedName>
    <definedName name="_xlnm.Print_Area" localSheetId="0">Codebook!$A$1:$I$75</definedName>
  </definedNames>
  <calcPr calcId="125725" concurrentCalc="0"/>
  <pivotCaches>
    <pivotCache cacheId="0" r:id="rId5"/>
  </pivotCaches>
  <extLst>
    <ext xmlns:mx="http://schemas.microsoft.com/office/mac/excel/2008/main" uri="{7523E5D3-25F3-A5E0-1632-64F254C22452}">
      <mx:ArchID Flags="2"/>
    </ext>
  </extLst>
</workbook>
</file>

<file path=xl/calcChain.xml><?xml version="1.0" encoding="utf-8"?>
<calcChain xmlns="http://schemas.openxmlformats.org/spreadsheetml/2006/main">
  <c r="D17" i="4"/>
  <c r="L17"/>
  <c r="K17"/>
  <c r="J17"/>
  <c r="I17"/>
  <c r="H17"/>
  <c r="F17"/>
  <c r="G17"/>
  <c r="E17"/>
  <c r="B17"/>
  <c r="L16"/>
  <c r="K16"/>
  <c r="J16"/>
  <c r="I16"/>
  <c r="H16"/>
  <c r="F16"/>
  <c r="G16"/>
  <c r="E16"/>
  <c r="D16"/>
  <c r="B16"/>
  <c r="C16"/>
  <c r="G22" i="2"/>
  <c r="G23"/>
  <c r="G24"/>
  <c r="G25"/>
  <c r="G26"/>
  <c r="G27"/>
  <c r="G28"/>
  <c r="G29"/>
  <c r="G30"/>
  <c r="G31"/>
  <c r="G32"/>
  <c r="G33"/>
  <c r="G34"/>
  <c r="G35"/>
  <c r="G36"/>
  <c r="G37"/>
  <c r="G38"/>
  <c r="G39"/>
  <c r="G40"/>
  <c r="G41"/>
  <c r="G42"/>
  <c r="G43"/>
  <c r="G44"/>
  <c r="G45"/>
  <c r="G46"/>
  <c r="G47"/>
  <c r="G48"/>
  <c r="G49"/>
  <c r="G50"/>
  <c r="G51"/>
  <c r="G52"/>
  <c r="G53"/>
  <c r="G54"/>
  <c r="G55"/>
  <c r="G56"/>
  <c r="G57"/>
  <c r="G58"/>
  <c r="G59"/>
  <c r="G60"/>
  <c r="G61"/>
  <c r="G62"/>
  <c r="G63"/>
  <c r="G64"/>
  <c r="G65"/>
  <c r="G66"/>
  <c r="G67"/>
  <c r="G68"/>
  <c r="G69"/>
  <c r="G70"/>
  <c r="G71"/>
  <c r="L17"/>
  <c r="P50"/>
  <c r="B17"/>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68"/>
  <c r="B16"/>
  <c r="C16"/>
  <c r="F16"/>
  <c r="G16"/>
  <c r="E17"/>
  <c r="D17"/>
  <c r="I17"/>
  <c r="J17"/>
  <c r="K17"/>
  <c r="L16"/>
  <c r="E16"/>
  <c r="G21"/>
  <c r="H16"/>
  <c r="I16"/>
  <c r="J16"/>
  <c r="K16"/>
  <c r="D16"/>
  <c r="F17"/>
  <c r="G17"/>
  <c r="H17"/>
  <c r="AE44"/>
  <c r="D65" i="1"/>
  <c r="D62"/>
  <c r="D40"/>
  <c r="D46"/>
  <c r="D49"/>
  <c r="D58"/>
  <c r="B5"/>
</calcChain>
</file>

<file path=xl/sharedStrings.xml><?xml version="1.0" encoding="utf-8"?>
<sst xmlns="http://schemas.openxmlformats.org/spreadsheetml/2006/main" count="477" uniqueCount="224">
  <si>
    <t>"MEDAY"</t>
  </si>
  <si>
    <t>Liste des données à récolter</t>
  </si>
  <si>
    <t>No</t>
  </si>
  <si>
    <t>Nom</t>
  </si>
  <si>
    <t>Label</t>
  </si>
  <si>
    <t>Description</t>
  </si>
  <si>
    <t>Type</t>
  </si>
  <si>
    <t>Validation par</t>
  </si>
  <si>
    <t>Commentaire</t>
  </si>
  <si>
    <t>personnel</t>
  </si>
  <si>
    <t>ID</t>
  </si>
  <si>
    <t>Identifiant</t>
  </si>
  <si>
    <t>Identifiant du médecin observé</t>
  </si>
  <si>
    <t>Groupe</t>
  </si>
  <si>
    <t>numérique</t>
  </si>
  <si>
    <t>général</t>
  </si>
  <si>
    <t>NOM</t>
  </si>
  <si>
    <t>Nom et prénom du médecin observé</t>
  </si>
  <si>
    <t>texte</t>
  </si>
  <si>
    <t>AGE</t>
  </si>
  <si>
    <t>Age</t>
  </si>
  <si>
    <t>Age du médecin observé</t>
  </si>
  <si>
    <t>démographique</t>
  </si>
  <si>
    <t>20..65</t>
  </si>
  <si>
    <t>TAUX</t>
  </si>
  <si>
    <t>Taux d'activité</t>
  </si>
  <si>
    <t>Taux d'activité clinique selon contrat de travail</t>
  </si>
  <si>
    <t>Année de clinique</t>
  </si>
  <si>
    <t>CLINIQUE</t>
  </si>
  <si>
    <t>nombre d’années de clinique achevées</t>
  </si>
  <si>
    <t>0..20</t>
  </si>
  <si>
    <t>0= en première année, 1= déjà 12 mois accomplis</t>
  </si>
  <si>
    <t>DIPLOME</t>
  </si>
  <si>
    <t>Annuée du diplôme</t>
  </si>
  <si>
    <t>année du diplôme d'étude de médecine</t>
  </si>
  <si>
    <t>1980..2014</t>
  </si>
  <si>
    <t>10%..100%</t>
  </si>
  <si>
    <t>LANGUE</t>
  </si>
  <si>
    <t>PAYS</t>
  </si>
  <si>
    <t>Pays du diplôme</t>
  </si>
  <si>
    <t>pays du diplôme d'étude de médecine</t>
  </si>
  <si>
    <t>FAMILLE</t>
  </si>
  <si>
    <t>(cf. questionnaire ISTH)</t>
  </si>
  <si>
    <t>temps moyen de présence à l'hôpital par semaine, estimé par médecin observé.</t>
  </si>
  <si>
    <t>travail</t>
  </si>
  <si>
    <t>temps de travail à domicile moyen par semaine, estimé</t>
  </si>
  <si>
    <t>h.00</t>
  </si>
  <si>
    <t>nombre de patient en charge</t>
  </si>
  <si>
    <t>patient-heure</t>
  </si>
  <si>
    <t>1 patient qui est resté tout la journée = 24. 1 patient qui est sorti à 15h15 = 15.25</t>
  </si>
  <si>
    <t>nombre de patient hosp depuis moins de 24h</t>
  </si>
  <si>
    <t>nombre de patient sortis depuis moins de 24h</t>
  </si>
  <si>
    <t>km</t>
  </si>
  <si>
    <t>ENTREE</t>
  </si>
  <si>
    <t>SORTIE</t>
  </si>
  <si>
    <t>Patients entrés</t>
  </si>
  <si>
    <t>Patients sortis</t>
  </si>
  <si>
    <t>CHARGE</t>
  </si>
  <si>
    <t>Patient en charge</t>
  </si>
  <si>
    <t>TRV_DOM</t>
  </si>
  <si>
    <t>Travail à domicile</t>
  </si>
  <si>
    <t>PRESENCE</t>
  </si>
  <si>
    <t>Temps de présence</t>
  </si>
  <si>
    <t>DIST</t>
  </si>
  <si>
    <t>Distance du domicile</t>
  </si>
  <si>
    <t>Distance entre le domicile et le lieu de travail</t>
  </si>
  <si>
    <t>Français comme première langue</t>
  </si>
  <si>
    <t>Le francais est la première langue, ou à égalité avec une autre première langue</t>
  </si>
  <si>
    <t>0..2</t>
  </si>
  <si>
    <t>0=non, 1=francais, 2=francais à égalité avec une autre langue</t>
  </si>
  <si>
    <t>activité</t>
  </si>
  <si>
    <t>Entrée médicale</t>
  </si>
  <si>
    <t>PT_ENTRE</t>
  </si>
  <si>
    <t>PT_SORTI</t>
  </si>
  <si>
    <t>VISITE</t>
  </si>
  <si>
    <t>PT_PRENT</t>
  </si>
  <si>
    <t>Patient présent</t>
  </si>
  <si>
    <t>le médecin est en présence du patient</t>
  </si>
  <si>
    <t>le médecin utilise l'ordinateur pour l'activité</t>
  </si>
  <si>
    <t>Circonstances de l'activité</t>
  </si>
  <si>
    <t>ACTIVITE</t>
  </si>
  <si>
    <t>Activité</t>
  </si>
  <si>
    <t>activité en cours selon liste ci-dessous</t>
  </si>
  <si>
    <t>ORDI</t>
  </si>
  <si>
    <t>TEL</t>
  </si>
  <si>
    <t>le médecin utilise le téléphone pour l'activité</t>
  </si>
  <si>
    <t>COLLEGUE</t>
  </si>
  <si>
    <t>Ordinateur utilisé</t>
  </si>
  <si>
    <t>Téléphone utilisé</t>
  </si>
  <si>
    <t>Geste technique</t>
  </si>
  <si>
    <t>Le temps de préparation, d'habillage, de nettoyage et d'établissement de bon d'examen est inclus.</t>
  </si>
  <si>
    <t>GESTE</t>
  </si>
  <si>
    <t>Sortie d'un patient</t>
  </si>
  <si>
    <t>ANNONCE</t>
  </si>
  <si>
    <t>ACCOMPA</t>
  </si>
  <si>
    <t>Temps de transition</t>
  </si>
  <si>
    <t>TRANSIT</t>
  </si>
  <si>
    <t>Temps général nécessaire à la transition vers une autre activité : déplacement, lavage de mains, habillement, aller chercher ou apporter quelque chose.</t>
  </si>
  <si>
    <t>Recherche d'information</t>
  </si>
  <si>
    <t>Administratif</t>
  </si>
  <si>
    <t>ADMIN</t>
  </si>
  <si>
    <t>LDS</t>
  </si>
  <si>
    <t>Lettre de sortie</t>
  </si>
  <si>
    <t>Formation</t>
  </si>
  <si>
    <t>Observateur</t>
  </si>
  <si>
    <t>OBSERV</t>
  </si>
  <si>
    <t>Personne enregistrant les activités du médecin observé</t>
  </si>
  <si>
    <t>DATEH</t>
  </si>
  <si>
    <t>Date et heure du début d'une activité observée</t>
  </si>
  <si>
    <t>Timestamp</t>
  </si>
  <si>
    <t>aaaa-mm-jj hh:mm:ss</t>
  </si>
  <si>
    <t>Généralités</t>
  </si>
  <si>
    <t>Durée d'une activité</t>
  </si>
  <si>
    <t>durée</t>
  </si>
  <si>
    <t>liste</t>
  </si>
  <si>
    <t>durée d'une activité</t>
  </si>
  <si>
    <t>secondes</t>
  </si>
  <si>
    <t>COLLOQUE</t>
  </si>
  <si>
    <t>Colloque</t>
  </si>
  <si>
    <t>PERSONEL</t>
  </si>
  <si>
    <t>Activités personnelles</t>
  </si>
  <si>
    <t>0..1</t>
  </si>
  <si>
    <t>DUREE</t>
  </si>
  <si>
    <t>Focalisation sur la famille, proche ou autre personne impliquée, sans relation professionnelle avec le patient. Temps de communication comprenant l'information, les explications, la prise de renseignement, la prise d'avis.</t>
  </si>
  <si>
    <t>DOSSIER</t>
  </si>
  <si>
    <t>Rédaction dans le dossier du patient</t>
  </si>
  <si>
    <t>Viste médicale</t>
  </si>
  <si>
    <t>SUPERVIS</t>
  </si>
  <si>
    <t>Supervision</t>
  </si>
  <si>
    <t>TRANSMIS</t>
  </si>
  <si>
    <t>Transmission</t>
  </si>
  <si>
    <t>Toute activité lié à la rédaction de rapports d'hospitalisation : faxmed, LDS, correction</t>
  </si>
  <si>
    <t>Tout geste fait par le médecin sur un patient, incluant mais pas limité à : gazométrie, ponction d’ascite, ponction pleurale, ponction lombaire, ponction articulaire, massage sinus, retrait de drain, pose VVC, sonde urinaire sonde gastrique.</t>
  </si>
  <si>
    <t>directement lié</t>
  </si>
  <si>
    <t>communication</t>
  </si>
  <si>
    <t>indirectement lié</t>
  </si>
  <si>
    <t>formation</t>
  </si>
  <si>
    <t>administratif</t>
  </si>
  <si>
    <t>0=patient absent, 1=patient présent</t>
  </si>
  <si>
    <t>0=ordi pas utilisé, 0=ordi utilisé</t>
  </si>
  <si>
    <t>0=tél pas utilisé, 1=tél utilisé</t>
  </si>
  <si>
    <t>STOP</t>
  </si>
  <si>
    <t>Fin de l'observation</t>
  </si>
  <si>
    <t>autre</t>
  </si>
  <si>
    <t>=différence entre deux DATEH</t>
  </si>
  <si>
    <t>Étiquettes de lignes</t>
  </si>
  <si>
    <t>Total</t>
  </si>
  <si>
    <t>Somme sur DUREE</t>
  </si>
  <si>
    <t>Étiquettes de colonnes</t>
  </si>
  <si>
    <t>LONG</t>
  </si>
  <si>
    <t>Heures en présence d'un patient :</t>
  </si>
  <si>
    <t>compatible STATA</t>
  </si>
  <si>
    <t>SEXE</t>
  </si>
  <si>
    <t>Sexe</t>
  </si>
  <si>
    <t>Sexe du médecin observé</t>
  </si>
  <si>
    <t>0=homme, 1=femme</t>
  </si>
  <si>
    <t>Accompagnement du patient</t>
  </si>
  <si>
    <t>Annonce de résultat et communication avec le patient</t>
  </si>
  <si>
    <t>Communication avec la famille</t>
  </si>
  <si>
    <t>FLAG</t>
  </si>
  <si>
    <t>Perturbation</t>
  </si>
  <si>
    <t>L'activité en cours est perturbée.</t>
  </si>
  <si>
    <t>perturbation</t>
  </si>
  <si>
    <t>Problème d'utilisation</t>
  </si>
  <si>
    <t>NO_INFO</t>
  </si>
  <si>
    <t>Info impossible à trouver</t>
  </si>
  <si>
    <t>Difficulté à trouver une information. Par exemple : On ne trouve pas un dossier, un résultat d'examen, une info dans un dossier. On arrive à joindre une personne qui a une info (le med ttt, par ex).</t>
  </si>
  <si>
    <t>NO_UTIL</t>
  </si>
  <si>
    <t>NO_COM</t>
  </si>
  <si>
    <t>Conflit de communication</t>
  </si>
  <si>
    <t>NO_SHOW</t>
  </si>
  <si>
    <t>L'activité en cours est perturbée par un problème d'utilisation de l'outil . Par exemple : l'ordinateur ne fonctionne pas. Un programme ne s'ouvre pas.</t>
  </si>
  <si>
    <t>Le temps de perturbation correspond, par exemple, au temps jusqu'à au redémarrage de l'ordinateur (résolution du problème).</t>
  </si>
  <si>
    <t>Peut éventuellement être regroupé avec TRANSMIS</t>
  </si>
  <si>
    <t>Le temps de perturbation commence lorsqu'on découvre l'absence et se termine avec le début de l'activité suivante.</t>
  </si>
  <si>
    <t>Une activité ne peut pas être commencée ou doit être interrompue. Par exemple : le patient n'est pas dans sa chambre. L'orateur n'est pas présent pour une formation (donc déplacement jusqu'à la salle inutile). Une formation annullée n'est pas une perturbation.</t>
  </si>
  <si>
    <t>Absence d'une personne</t>
  </si>
  <si>
    <t>en cours</t>
  </si>
  <si>
    <t>Médecin observé</t>
  </si>
  <si>
    <t>En cours</t>
  </si>
  <si>
    <t>Prochaine</t>
  </si>
  <si>
    <t>0..4 selon liste</t>
  </si>
  <si>
    <t>0=aucun problème</t>
  </si>
  <si>
    <t xml:space="preserve">Heure de la journée : </t>
  </si>
  <si>
    <t>Liste des activités</t>
  </si>
  <si>
    <t>circonstances</t>
  </si>
  <si>
    <t>peut avoir lieu en plusieurs fois durant la journée.</t>
  </si>
  <si>
    <t>Préparation des éléments nécessaires à la sortie : rédaction d'ordonnance, dernière entrevue avec le patient, explication de l'ordonnance.</t>
  </si>
  <si>
    <t>Toutes les activités avec le patient, lors de son arrivée dans le service. Cela contient : anamnèse, status, communication avec le patient. Début lorsque le MA s'intéresse, de manière nominative, à un nouveau patient. Exemple: Lecture du dossier, permier contact avec le patient.</t>
  </si>
  <si>
    <t>Viste des patients hospitalisés dont le médecin a la charge. La visite contient la consultation du dossier, la consultation des résultats d'examen, l'anamnèse, le status, la communication,   la prescription des traitements, d'ordre et des examens. La contre-visite au desk infirmier est également incluse dans cette activité.</t>
  </si>
  <si>
    <t>Présence du médecin auprès du patient devant aller à l'extérieur du service. Contient la surveillance lors d'examen, lors de transfert dans un autre service. Y compris les situations d'urgences.</t>
  </si>
  <si>
    <t>Annonce de résultats, de mauvaise nouvelle, d'orientation thérapeutique, nécessitant une entretien supplémentaire particulier. Temps dédié à à la communication avec le patient. Y compris éducation thérapeutique du patient</t>
  </si>
  <si>
    <t>Recherche d'informations concernant un patient. Contient : recherche d'info dans le dossier papier, SOARIAN, ARCHIMED, dossier d'autre profession. Ne concerne pas l'entrée médicale.</t>
  </si>
  <si>
    <t>Rédaction de note de suite, de liste de problème, de transmissions, de résultat d'examen. Ne concerne pas l'entrée.</t>
  </si>
  <si>
    <t xml:space="preserve">Discussion avec un cadre (CDC, MC) centrée sur patient et résultant en une décision de prise en charge du patient. Cela comprend la contre-visite avec le CDC et la présentation de cas, par exemple pendant la grande visite. </t>
  </si>
  <si>
    <t>CONTACT</t>
  </si>
  <si>
    <t>Contact avec collègue concernant un patient</t>
  </si>
  <si>
    <t>Temps consacré à donner ou à recevoir des transmissions, c'est à dire préparer des documents écrits, assister à un colloque de transmission, recevoir ou donner les informations par téléphone. Le but est de transférer la responsabilité du patient (≠ supervision, ≠ demande d'examen). Comprend le colloque de remise du matin.</t>
  </si>
  <si>
    <t>colloque de liaison, de réseau, d'équipe. Colloque entre plusieurs spécialistes. Participer au tumor board. colloque de lit inflammatoire. Tout temps de réunion entre professionnels pour discuter la prise en charge d'un ou plusieurs patients. La résolution de conflit d'équipe ou le debriefing en font partie. La famille n'est pas présente.</t>
  </si>
  <si>
    <t>Formation donnée</t>
  </si>
  <si>
    <t>FO_DONNE</t>
  </si>
  <si>
    <t>FO_RECUE</t>
  </si>
  <si>
    <t>Temps dédiés aux besoins du médecin, sans lien avec l'activité clinique : repas, toilette, téléphone privé, utilisation de l'ordinateur à des fins privées.</t>
  </si>
  <si>
    <t>Travail dans le cadre professionnel, mais pas lié à un patient, directement ou indirectement. Par exemple : répondre à des emails professionnel.</t>
  </si>
  <si>
    <t>Le médecin observé est bénéficiaire de teaching. Participe à un colloque de formation, assiste à une grande visite sans présenter de cas. Préparatation de colloque, recherche de littérature.</t>
  </si>
  <si>
    <t>ACADEMIQ</t>
  </si>
  <si>
    <t>Travaux de recherche, thèse, publication. Exclut la préparation de colloque ou la revue d'article.</t>
  </si>
  <si>
    <t>Activité de recherche</t>
  </si>
  <si>
    <t>recherche</t>
  </si>
  <si>
    <t>RECHINFO</t>
  </si>
  <si>
    <t>REVUE</t>
  </si>
  <si>
    <t>Revue de littérature</t>
  </si>
  <si>
    <t>Recherche d'information scientifique permettant de décider la prise en charge du patient : consulter le SURF, uptodate, pubmed, medcalc, google, etc…</t>
  </si>
  <si>
    <t>Total général</t>
  </si>
  <si>
    <t>Collaborateur présent</t>
  </si>
  <si>
    <t>COLABO</t>
  </si>
  <si>
    <t>0=aucun, 1=un collaborateur, 2=plus d'un</t>
  </si>
  <si>
    <t>Contact avec collaborateur concernant un patient</t>
  </si>
  <si>
    <t>Enseignement donné par le médecin observé à d'autre personnes : étudiants, collaborateur, infirmière. La supervision d'une entrée faite par un étudiant équivaut à du teaching.</t>
  </si>
  <si>
    <t xml:space="preserve">La communication avec une tierce personne (patient, famille ou collaborateur) reflète une certaine tension ou est ouvertement conflictuelle. </t>
  </si>
  <si>
    <t>Il y a une interaction avec un collaborateur pour l'activité décrite</t>
  </si>
  <si>
    <t>Prise de renseignements, prise de rendez-vous, demande d'examen, demande de consultation, prise d'avis de consultants. Uniquement avec des collaborateurs (méd ttt, méd spec). Exclu la prise d'info auprès des proches.</t>
  </si>
  <si>
    <t>disponible</t>
  </si>
  <si>
    <t>Données démographiques</t>
  </si>
</sst>
</file>

<file path=xl/styles.xml><?xml version="1.0" encoding="utf-8"?>
<styleSheet xmlns="http://schemas.openxmlformats.org/spreadsheetml/2006/main">
  <numFmts count="2">
    <numFmt numFmtId="164" formatCode="yyyy\-mm\-dd\ hh:mm:ss"/>
    <numFmt numFmtId="165" formatCode="mm/ss"/>
  </numFmts>
  <fonts count="22">
    <font>
      <sz val="11"/>
      <color theme="1"/>
      <name val="Arial"/>
      <family val="2"/>
    </font>
    <font>
      <sz val="10"/>
      <color theme="1"/>
      <name val="Arial"/>
      <family val="2"/>
    </font>
    <font>
      <b/>
      <sz val="10"/>
      <color theme="1"/>
      <name val="Arial"/>
      <family val="2"/>
    </font>
    <font>
      <b/>
      <sz val="12"/>
      <color theme="1"/>
      <name val="Arial"/>
      <family val="2"/>
    </font>
    <font>
      <sz val="14"/>
      <color theme="1"/>
      <name val="Arial Narrow"/>
      <family val="2"/>
    </font>
    <font>
      <sz val="13"/>
      <color theme="1"/>
      <name val="Arial Narrow"/>
    </font>
    <font>
      <u/>
      <sz val="11"/>
      <color theme="10"/>
      <name val="Arial"/>
      <family val="2"/>
    </font>
    <font>
      <u/>
      <sz val="11"/>
      <color theme="11"/>
      <name val="Arial"/>
      <family val="2"/>
    </font>
    <font>
      <sz val="8"/>
      <name val="Arial"/>
      <family val="2"/>
    </font>
    <font>
      <sz val="11"/>
      <color theme="0"/>
      <name val="Arial"/>
      <family val="2"/>
    </font>
    <font>
      <b/>
      <sz val="11"/>
      <color theme="1"/>
      <name val="Arial Narrow"/>
    </font>
    <font>
      <sz val="11"/>
      <color rgb="FFFFFFFF"/>
      <name val="Arial"/>
    </font>
    <font>
      <sz val="10"/>
      <color rgb="FF000000"/>
      <name val="Geneva"/>
    </font>
    <font>
      <sz val="12"/>
      <color rgb="FF000000"/>
      <name val="Lucida Grande"/>
    </font>
    <font>
      <sz val="11"/>
      <color theme="1"/>
      <name val="Arial"/>
      <family val="2"/>
    </font>
    <font>
      <b/>
      <sz val="11"/>
      <color theme="1"/>
      <name val="Arial Narrow"/>
      <family val="2"/>
    </font>
    <font>
      <sz val="11"/>
      <color theme="9" tint="-0.499984740745262"/>
      <name val="Arial"/>
      <family val="2"/>
    </font>
    <font>
      <sz val="11"/>
      <color theme="3" tint="-0.499984740745262"/>
      <name val="Arial"/>
      <family val="2"/>
    </font>
    <font>
      <sz val="11"/>
      <color theme="5" tint="-0.499984740745262"/>
      <name val="Arial"/>
      <family val="2"/>
    </font>
    <font>
      <sz val="11"/>
      <color theme="9" tint="0.79998168889431442"/>
      <name val="Arial"/>
      <family val="2"/>
    </font>
    <font>
      <sz val="11"/>
      <color theme="9"/>
      <name val="Arial"/>
      <family val="2"/>
    </font>
    <font>
      <sz val="11"/>
      <color theme="0"/>
      <name val="Arial Narrow"/>
      <family val="2"/>
    </font>
  </fonts>
  <fills count="12">
    <fill>
      <patternFill patternType="none"/>
    </fill>
    <fill>
      <patternFill patternType="gray125"/>
    </fill>
    <fill>
      <patternFill patternType="solid">
        <fgColor theme="4" tint="-0.499984740745262"/>
        <bgColor indexed="64"/>
      </patternFill>
    </fill>
    <fill>
      <patternFill patternType="solid">
        <fgColor theme="4" tint="0.39997558519241921"/>
        <bgColor indexed="64"/>
      </patternFill>
    </fill>
    <fill>
      <patternFill patternType="solid">
        <fgColor rgb="FF95B3D7"/>
        <bgColor rgb="FF000000"/>
      </patternFill>
    </fill>
    <fill>
      <patternFill patternType="solid">
        <fgColor theme="0" tint="-4.9989318521683403E-2"/>
        <bgColor indexed="64"/>
      </patternFill>
    </fill>
    <fill>
      <patternFill patternType="solid">
        <fgColor theme="9" tint="0.79998168889431442"/>
        <bgColor indexed="65"/>
      </patternFill>
    </fill>
    <fill>
      <patternFill patternType="solid">
        <fgColor theme="9" tint="-0.249977111117893"/>
        <bgColor indexed="64"/>
      </patternFill>
    </fill>
    <fill>
      <patternFill patternType="solid">
        <fgColor theme="5" tint="-0.249977111117893"/>
        <bgColor indexed="64"/>
      </patternFill>
    </fill>
    <fill>
      <patternFill patternType="solid">
        <fgColor theme="0"/>
        <bgColor indexed="64"/>
      </patternFill>
    </fill>
    <fill>
      <patternFill patternType="solid">
        <fgColor theme="1"/>
        <bgColor indexed="64"/>
      </patternFill>
    </fill>
    <fill>
      <patternFill patternType="solid">
        <fgColor theme="1" tint="0.499984740745262"/>
        <bgColor indexed="64"/>
      </patternFill>
    </fill>
  </fills>
  <borders count="18">
    <border>
      <left/>
      <right/>
      <top/>
      <bottom/>
      <diagonal/>
    </border>
    <border>
      <left/>
      <right/>
      <top/>
      <bottom style="thin">
        <color auto="1"/>
      </bottom>
      <diagonal/>
    </border>
    <border>
      <left style="thin">
        <color indexed="64"/>
      </left>
      <right style="thin">
        <color indexed="64"/>
      </right>
      <top style="thin">
        <color indexed="64"/>
      </top>
      <bottom style="thin">
        <color indexed="64"/>
      </bottom>
      <diagonal/>
    </border>
    <border>
      <left style="thin">
        <color theme="9" tint="-0.24994659260841701"/>
      </left>
      <right style="thin">
        <color theme="9" tint="-0.24994659260841701"/>
      </right>
      <top style="thin">
        <color theme="9" tint="-0.24994659260841701"/>
      </top>
      <bottom style="thin">
        <color theme="9" tint="-0.24994659260841701"/>
      </bottom>
      <diagonal/>
    </border>
    <border>
      <left style="thin">
        <color theme="1" tint="0.14996795556505021"/>
      </left>
      <right/>
      <top style="thin">
        <color theme="1" tint="0.14996795556505021"/>
      </top>
      <bottom/>
      <diagonal/>
    </border>
    <border>
      <left/>
      <right/>
      <top style="thin">
        <color theme="1" tint="0.14996795556505021"/>
      </top>
      <bottom/>
      <diagonal/>
    </border>
    <border>
      <left/>
      <right style="thin">
        <color theme="1" tint="0.14996795556505021"/>
      </right>
      <top style="thin">
        <color theme="1" tint="0.14996795556505021"/>
      </top>
      <bottom/>
      <diagonal/>
    </border>
    <border>
      <left style="thin">
        <color theme="1" tint="0.14996795556505021"/>
      </left>
      <right/>
      <top/>
      <bottom/>
      <diagonal/>
    </border>
    <border>
      <left/>
      <right style="thin">
        <color theme="1" tint="0.14996795556505021"/>
      </right>
      <top/>
      <bottom/>
      <diagonal/>
    </border>
    <border>
      <left style="thin">
        <color theme="1" tint="0.14996795556505021"/>
      </left>
      <right/>
      <top/>
      <bottom style="thin">
        <color theme="1" tint="0.14996795556505021"/>
      </bottom>
      <diagonal/>
    </border>
    <border>
      <left/>
      <right/>
      <top/>
      <bottom style="thin">
        <color theme="1" tint="0.14996795556505021"/>
      </bottom>
      <diagonal/>
    </border>
    <border>
      <left/>
      <right style="thin">
        <color theme="1" tint="0.14996795556505021"/>
      </right>
      <top/>
      <bottom style="thin">
        <color theme="1" tint="0.14996795556505021"/>
      </bottom>
      <diagonal/>
    </border>
    <border>
      <left style="thin">
        <color theme="5" tint="-0.499984740745262"/>
      </left>
      <right/>
      <top style="thin">
        <color theme="5" tint="-0.499984740745262"/>
      </top>
      <bottom style="thin">
        <color theme="5" tint="-0.499984740745262"/>
      </bottom>
      <diagonal/>
    </border>
    <border>
      <left/>
      <right/>
      <top style="thin">
        <color theme="5" tint="-0.499984740745262"/>
      </top>
      <bottom style="thin">
        <color theme="5" tint="-0.499984740745262"/>
      </bottom>
      <diagonal/>
    </border>
    <border>
      <left/>
      <right style="thin">
        <color theme="5" tint="-0.499984740745262"/>
      </right>
      <top style="thin">
        <color theme="5" tint="-0.499984740745262"/>
      </top>
      <bottom style="thin">
        <color theme="5" tint="-0.499984740745262"/>
      </bottom>
      <diagonal/>
    </border>
    <border>
      <left style="thin">
        <color theme="3" tint="-0.499984740745262"/>
      </left>
      <right/>
      <top style="thin">
        <color theme="3" tint="-0.499984740745262"/>
      </top>
      <bottom style="thin">
        <color theme="3" tint="-0.499984740745262"/>
      </bottom>
      <diagonal/>
    </border>
    <border>
      <left/>
      <right/>
      <top style="thin">
        <color theme="3" tint="-0.499984740745262"/>
      </top>
      <bottom style="thin">
        <color theme="3" tint="-0.499984740745262"/>
      </bottom>
      <diagonal/>
    </border>
    <border>
      <left/>
      <right style="thin">
        <color theme="3" tint="-0.499984740745262"/>
      </right>
      <top style="thin">
        <color theme="3" tint="-0.499984740745262"/>
      </top>
      <bottom style="thin">
        <color theme="3" tint="-0.499984740745262"/>
      </bottom>
      <diagonal/>
    </border>
  </borders>
  <cellStyleXfs count="192">
    <xf numFmtId="0" fontId="0"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14" fillId="6" borderId="0" applyNumberFormat="0" applyBorder="0" applyAlignment="0" applyProtection="0"/>
  </cellStyleXfs>
  <cellXfs count="85">
    <xf numFmtId="0" fontId="0" fillId="0" borderId="0" xfId="0"/>
    <xf numFmtId="0" fontId="1" fillId="0" borderId="0" xfId="0" applyFont="1"/>
    <xf numFmtId="14" fontId="1" fillId="0" borderId="0" xfId="0" applyNumberFormat="1" applyFont="1"/>
    <xf numFmtId="0" fontId="2" fillId="0" borderId="0" xfId="0" applyFont="1"/>
    <xf numFmtId="0" fontId="3" fillId="0" borderId="0" xfId="0" applyFont="1"/>
    <xf numFmtId="0" fontId="0" fillId="0" borderId="0" xfId="0" applyAlignment="1">
      <alignment wrapText="1"/>
    </xf>
    <xf numFmtId="0" fontId="1" fillId="0" borderId="0" xfId="0" applyFont="1" applyAlignment="1">
      <alignment wrapText="1"/>
    </xf>
    <xf numFmtId="0" fontId="2" fillId="0" borderId="0" xfId="0" applyFont="1" applyAlignment="1">
      <alignment wrapText="1"/>
    </xf>
    <xf numFmtId="0" fontId="1" fillId="0" borderId="0" xfId="0" applyFont="1" applyFill="1"/>
    <xf numFmtId="0" fontId="2" fillId="0" borderId="0" xfId="0" applyFont="1" applyFill="1"/>
    <xf numFmtId="0" fontId="4" fillId="0" borderId="0" xfId="0" applyFont="1" applyFill="1"/>
    <xf numFmtId="0" fontId="9" fillId="0" borderId="0" xfId="0" applyFont="1" applyFill="1"/>
    <xf numFmtId="0" fontId="0" fillId="0" borderId="0" xfId="0" applyFill="1"/>
    <xf numFmtId="0" fontId="0" fillId="0" borderId="0" xfId="0" applyAlignment="1">
      <alignment horizontal="left"/>
    </xf>
    <xf numFmtId="0" fontId="0" fillId="0" borderId="0" xfId="0" applyAlignment="1">
      <alignment horizontal="center"/>
    </xf>
    <xf numFmtId="164" fontId="0" fillId="0" borderId="0" xfId="0" applyNumberFormat="1" applyAlignment="1">
      <alignment horizontal="left"/>
    </xf>
    <xf numFmtId="0" fontId="10" fillId="0" borderId="1" xfId="0" applyFont="1" applyBorder="1" applyAlignment="1">
      <alignment horizontal="left"/>
    </xf>
    <xf numFmtId="0" fontId="10" fillId="0" borderId="1" xfId="0" applyFont="1" applyBorder="1" applyAlignment="1">
      <alignment horizontal="center"/>
    </xf>
    <xf numFmtId="0" fontId="10" fillId="0" borderId="1" xfId="0" applyFont="1" applyBorder="1"/>
    <xf numFmtId="0" fontId="0" fillId="0" borderId="0" xfId="0" applyNumberFormat="1" applyAlignment="1">
      <alignment horizontal="center"/>
    </xf>
    <xf numFmtId="165" fontId="10" fillId="0" borderId="1" xfId="0" applyNumberFormat="1" applyFont="1" applyBorder="1" applyAlignment="1">
      <alignment horizontal="center"/>
    </xf>
    <xf numFmtId="165" fontId="0" fillId="0" borderId="0" xfId="0" applyNumberFormat="1" applyAlignment="1">
      <alignment horizontal="center"/>
    </xf>
    <xf numFmtId="0" fontId="0" fillId="0" borderId="0" xfId="0" pivotButton="1"/>
    <xf numFmtId="0" fontId="0" fillId="0" borderId="0" xfId="0" applyNumberFormat="1"/>
    <xf numFmtId="0" fontId="0" fillId="0" borderId="0" xfId="0" applyAlignment="1">
      <alignment horizontal="right"/>
    </xf>
    <xf numFmtId="0" fontId="1" fillId="0" borderId="0" xfId="0" applyFont="1" applyBorder="1" applyAlignment="1">
      <alignment vertical="top"/>
    </xf>
    <xf numFmtId="0" fontId="0" fillId="0" borderId="0" xfId="0" applyBorder="1" applyAlignment="1">
      <alignment vertical="top" wrapText="1"/>
    </xf>
    <xf numFmtId="0" fontId="0" fillId="0" borderId="0" xfId="0" applyBorder="1" applyAlignment="1">
      <alignment vertical="top"/>
    </xf>
    <xf numFmtId="0" fontId="1" fillId="0" borderId="0" xfId="0" applyFont="1" applyBorder="1" applyAlignment="1">
      <alignment vertical="top" wrapText="1"/>
    </xf>
    <xf numFmtId="0" fontId="1" fillId="0" borderId="0" xfId="0" applyFont="1" applyFill="1" applyBorder="1"/>
    <xf numFmtId="0" fontId="9" fillId="2" borderId="0" xfId="0" applyFont="1" applyFill="1" applyBorder="1" applyAlignment="1">
      <alignment vertical="top"/>
    </xf>
    <xf numFmtId="0" fontId="9" fillId="2" borderId="0" xfId="0" applyFont="1" applyFill="1" applyBorder="1" applyAlignment="1">
      <alignment vertical="top" wrapText="1"/>
    </xf>
    <xf numFmtId="0" fontId="1" fillId="0" borderId="0" xfId="0" applyFont="1" applyBorder="1"/>
    <xf numFmtId="0" fontId="1" fillId="0" borderId="0" xfId="0" quotePrefix="1" applyFont="1" applyBorder="1" applyAlignment="1">
      <alignment wrapText="1"/>
    </xf>
    <xf numFmtId="0" fontId="9" fillId="7" borderId="0" xfId="0" applyFont="1" applyFill="1" applyBorder="1" applyAlignment="1">
      <alignment vertical="top"/>
    </xf>
    <xf numFmtId="0" fontId="9" fillId="7" borderId="0" xfId="0" applyFont="1" applyFill="1" applyBorder="1" applyAlignment="1">
      <alignment vertical="top" wrapText="1"/>
    </xf>
    <xf numFmtId="0" fontId="16" fillId="0" borderId="0" xfId="0" applyFont="1" applyBorder="1" applyAlignment="1">
      <alignment vertical="top"/>
    </xf>
    <xf numFmtId="0" fontId="16" fillId="0" borderId="0" xfId="0" applyFont="1" applyBorder="1" applyAlignment="1">
      <alignment vertical="top" wrapText="1"/>
    </xf>
    <xf numFmtId="0" fontId="9" fillId="10" borderId="0" xfId="0" applyFont="1" applyFill="1" applyBorder="1" applyAlignment="1">
      <alignment vertical="top"/>
    </xf>
    <xf numFmtId="0" fontId="9" fillId="10" borderId="0" xfId="0" applyFont="1" applyFill="1" applyBorder="1" applyAlignment="1">
      <alignment vertical="top" wrapText="1"/>
    </xf>
    <xf numFmtId="0" fontId="17" fillId="0" borderId="0" xfId="0" applyFont="1" applyBorder="1" applyAlignment="1">
      <alignment vertical="top"/>
    </xf>
    <xf numFmtId="0" fontId="17" fillId="0" borderId="0" xfId="0" applyFont="1" applyBorder="1" applyAlignment="1">
      <alignment vertical="top" wrapText="1"/>
    </xf>
    <xf numFmtId="0" fontId="18" fillId="0" borderId="0" xfId="0" applyFont="1" applyBorder="1" applyAlignment="1">
      <alignment vertical="top"/>
    </xf>
    <xf numFmtId="0" fontId="18" fillId="0" borderId="0" xfId="0" applyFont="1" applyBorder="1" applyAlignment="1">
      <alignment vertical="top" wrapText="1"/>
    </xf>
    <xf numFmtId="0" fontId="0" fillId="5" borderId="4" xfId="0" applyFill="1" applyBorder="1" applyAlignment="1">
      <alignment horizontal="left"/>
    </xf>
    <xf numFmtId="165" fontId="0" fillId="5" borderId="5" xfId="0" applyNumberFormat="1" applyFill="1" applyBorder="1" applyAlignment="1">
      <alignment horizontal="center"/>
    </xf>
    <xf numFmtId="0" fontId="0" fillId="5" borderId="5" xfId="0" applyFill="1" applyBorder="1" applyAlignment="1">
      <alignment horizontal="center"/>
    </xf>
    <xf numFmtId="0" fontId="0" fillId="5" borderId="5" xfId="0" applyFill="1" applyBorder="1"/>
    <xf numFmtId="0" fontId="0" fillId="5" borderId="6" xfId="0" applyFill="1" applyBorder="1" applyAlignment="1">
      <alignment horizontal="center"/>
    </xf>
    <xf numFmtId="0" fontId="0" fillId="5" borderId="7" xfId="0" applyFill="1" applyBorder="1" applyAlignment="1">
      <alignment horizontal="left"/>
    </xf>
    <xf numFmtId="165" fontId="0" fillId="5" borderId="0" xfId="0" applyNumberFormat="1" applyFill="1" applyBorder="1" applyAlignment="1">
      <alignment horizontal="center"/>
    </xf>
    <xf numFmtId="0" fontId="0" fillId="5" borderId="0" xfId="0" applyFill="1" applyBorder="1" applyAlignment="1">
      <alignment horizontal="center"/>
    </xf>
    <xf numFmtId="0" fontId="0" fillId="5" borderId="0" xfId="0" applyFill="1" applyBorder="1"/>
    <xf numFmtId="0" fontId="0" fillId="5" borderId="8" xfId="0" applyFill="1" applyBorder="1" applyAlignment="1">
      <alignment horizontal="center"/>
    </xf>
    <xf numFmtId="0" fontId="0" fillId="5" borderId="9" xfId="0" applyFill="1" applyBorder="1" applyAlignment="1">
      <alignment horizontal="left"/>
    </xf>
    <xf numFmtId="165" fontId="0" fillId="5" borderId="10" xfId="0" applyNumberFormat="1" applyFill="1" applyBorder="1" applyAlignment="1">
      <alignment horizontal="center"/>
    </xf>
    <xf numFmtId="0" fontId="0" fillId="5" borderId="10"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15" fillId="0" borderId="1" xfId="0" applyFont="1" applyBorder="1" applyAlignment="1">
      <alignment horizontal="center"/>
    </xf>
    <xf numFmtId="164" fontId="16" fillId="6" borderId="3" xfId="191" applyNumberFormat="1" applyFont="1" applyBorder="1" applyAlignment="1">
      <alignment horizontal="left" vertical="center"/>
    </xf>
    <xf numFmtId="164" fontId="20" fillId="6" borderId="3" xfId="191" applyNumberFormat="1" applyFont="1" applyBorder="1" applyAlignment="1">
      <alignment horizontal="left" vertical="center"/>
    </xf>
    <xf numFmtId="0" fontId="20" fillId="6" borderId="3" xfId="191" applyFont="1" applyBorder="1" applyAlignment="1">
      <alignment horizontal="center" vertical="center"/>
    </xf>
    <xf numFmtId="0" fontId="20" fillId="6" borderId="3" xfId="191" applyFont="1" applyBorder="1" applyAlignment="1">
      <alignment horizontal="left" vertical="center"/>
    </xf>
    <xf numFmtId="0" fontId="0" fillId="9" borderId="2" xfId="0" applyFill="1" applyBorder="1" applyAlignment="1">
      <alignment horizontal="center"/>
    </xf>
    <xf numFmtId="165" fontId="0" fillId="5" borderId="0" xfId="0" applyNumberFormat="1" applyFill="1" applyBorder="1" applyAlignment="1">
      <alignment horizontal="right" vertical="center"/>
    </xf>
    <xf numFmtId="0" fontId="19" fillId="6" borderId="3" xfId="191" applyNumberFormat="1" applyFont="1" applyBorder="1" applyAlignment="1">
      <alignment horizontal="center" vertical="center"/>
    </xf>
    <xf numFmtId="0" fontId="21" fillId="7" borderId="0" xfId="0" applyFont="1" applyFill="1" applyAlignment="1">
      <alignment horizontal="right" vertical="center"/>
    </xf>
    <xf numFmtId="0" fontId="16" fillId="6" borderId="3" xfId="191" applyNumberFormat="1" applyFont="1" applyBorder="1" applyAlignment="1">
      <alignment horizontal="center" vertical="center"/>
    </xf>
    <xf numFmtId="0" fontId="16" fillId="6" borderId="3" xfId="191" applyFont="1" applyBorder="1" applyAlignment="1">
      <alignment horizontal="center" vertical="center"/>
    </xf>
    <xf numFmtId="0" fontId="16" fillId="6" borderId="3" xfId="191" applyFont="1" applyBorder="1" applyAlignment="1">
      <alignment horizontal="left" vertical="center"/>
    </xf>
    <xf numFmtId="0" fontId="0" fillId="0" borderId="1" xfId="0" applyBorder="1" applyAlignment="1">
      <alignment vertical="top" wrapText="1"/>
    </xf>
    <xf numFmtId="0" fontId="0" fillId="0" borderId="1" xfId="0" applyBorder="1" applyAlignment="1">
      <alignment vertical="top"/>
    </xf>
    <xf numFmtId="0" fontId="1" fillId="0" borderId="1" xfId="0" applyFont="1" applyBorder="1" applyAlignment="1">
      <alignment vertical="top"/>
    </xf>
    <xf numFmtId="0" fontId="9" fillId="8" borderId="12" xfId="0" applyFont="1" applyFill="1" applyBorder="1" applyAlignment="1">
      <alignment vertical="top"/>
    </xf>
    <xf numFmtId="0" fontId="9" fillId="8" borderId="13" xfId="0" applyFont="1" applyFill="1" applyBorder="1" applyAlignment="1">
      <alignment vertical="top"/>
    </xf>
    <xf numFmtId="0" fontId="9" fillId="8" borderId="13" xfId="0" applyFont="1" applyFill="1" applyBorder="1" applyAlignment="1">
      <alignment vertical="top" wrapText="1"/>
    </xf>
    <xf numFmtId="0" fontId="9" fillId="8" borderId="14" xfId="0" applyFont="1" applyFill="1" applyBorder="1" applyAlignment="1">
      <alignment vertical="top" wrapText="1"/>
    </xf>
    <xf numFmtId="0" fontId="11" fillId="4" borderId="15" xfId="0" applyFont="1" applyFill="1" applyBorder="1" applyAlignment="1">
      <alignment vertical="top"/>
    </xf>
    <xf numFmtId="0" fontId="11" fillId="4" borderId="16" xfId="0" applyFont="1" applyFill="1" applyBorder="1" applyAlignment="1">
      <alignment vertical="top"/>
    </xf>
    <xf numFmtId="0" fontId="9" fillId="3" borderId="16" xfId="0" applyFont="1" applyFill="1" applyBorder="1" applyAlignment="1">
      <alignment vertical="top" wrapText="1"/>
    </xf>
    <xf numFmtId="0" fontId="11" fillId="4" borderId="16" xfId="0" applyFont="1" applyFill="1" applyBorder="1" applyAlignment="1">
      <alignment vertical="top" wrapText="1"/>
    </xf>
    <xf numFmtId="0" fontId="11" fillId="4" borderId="17" xfId="0" applyFont="1" applyFill="1" applyBorder="1" applyAlignment="1">
      <alignment vertical="top" wrapText="1"/>
    </xf>
    <xf numFmtId="0" fontId="5" fillId="11" borderId="0" xfId="0" applyFont="1" applyFill="1" applyBorder="1"/>
    <xf numFmtId="0" fontId="5" fillId="11" borderId="0" xfId="0" applyFont="1" applyFill="1" applyBorder="1" applyAlignment="1">
      <alignment wrapText="1"/>
    </xf>
  </cellXfs>
  <cellStyles count="192">
    <cellStyle name="20 % - Accent6" xfId="191" builtinId="50"/>
    <cellStyle name="Lien hypertexte" xfId="1" builtinId="8" hidden="1"/>
    <cellStyle name="Lien hypertexte" xfId="3" builtinId="8" hidden="1"/>
    <cellStyle name="Lien hypertexte" xfId="5" builtinId="8" hidden="1"/>
    <cellStyle name="Lien hypertexte" xfId="7" builtinId="8" hidden="1"/>
    <cellStyle name="Lien hypertexte" xfId="9" builtinId="8" hidden="1"/>
    <cellStyle name="Lien hypertexte" xfId="11" builtinId="8" hidden="1"/>
    <cellStyle name="Lien hypertexte" xfId="13" builtinId="8" hidden="1"/>
    <cellStyle name="Lien hypertexte" xfId="15" builtinId="8" hidden="1"/>
    <cellStyle name="Lien hypertexte" xfId="17" builtinId="8" hidden="1"/>
    <cellStyle name="Lien hypertexte" xfId="19" builtinId="8" hidden="1"/>
    <cellStyle name="Lien hypertexte" xfId="21" builtinId="8" hidden="1"/>
    <cellStyle name="Lien hypertexte" xfId="23" builtinId="8" hidden="1"/>
    <cellStyle name="Lien hypertexte" xfId="25" builtinId="8" hidden="1"/>
    <cellStyle name="Lien hypertexte" xfId="27" builtinId="8" hidden="1"/>
    <cellStyle name="Lien hypertexte" xfId="29" builtinId="8" hidden="1"/>
    <cellStyle name="Lien hypertexte" xfId="31" builtinId="8" hidden="1"/>
    <cellStyle name="Lien hypertexte" xfId="33" builtinId="8" hidden="1"/>
    <cellStyle name="Lien hypertexte" xfId="35" builtinId="8" hidden="1"/>
    <cellStyle name="Lien hypertexte" xfId="37" builtinId="8" hidden="1"/>
    <cellStyle name="Lien hypertexte" xfId="39" builtinId="8" hidden="1"/>
    <cellStyle name="Lien hypertexte" xfId="41" builtinId="8" hidden="1"/>
    <cellStyle name="Lien hypertexte" xfId="43" builtinId="8" hidden="1"/>
    <cellStyle name="Lien hypertexte" xfId="45" builtinId="8" hidden="1"/>
    <cellStyle name="Lien hypertexte" xfId="47" builtinId="8" hidden="1"/>
    <cellStyle name="Lien hypertexte" xfId="49" builtinId="8" hidden="1"/>
    <cellStyle name="Lien hypertexte" xfId="51" builtinId="8" hidden="1"/>
    <cellStyle name="Lien hypertexte" xfId="53" builtinId="8" hidden="1"/>
    <cellStyle name="Lien hypertexte" xfId="55" builtinId="8" hidden="1"/>
    <cellStyle name="Lien hypertexte" xfId="57" builtinId="8" hidden="1"/>
    <cellStyle name="Lien hypertexte" xfId="59" builtinId="8" hidden="1"/>
    <cellStyle name="Lien hypertexte" xfId="61" builtinId="8" hidden="1"/>
    <cellStyle name="Lien hypertexte" xfId="63" builtinId="8" hidden="1"/>
    <cellStyle name="Lien hypertexte" xfId="65" builtinId="8" hidden="1"/>
    <cellStyle name="Lien hypertexte" xfId="67" builtinId="8" hidden="1"/>
    <cellStyle name="Lien hypertexte" xfId="69" builtinId="8" hidden="1"/>
    <cellStyle name="Lien hypertexte" xfId="71" builtinId="8" hidden="1"/>
    <cellStyle name="Lien hypertexte" xfId="73" builtinId="8" hidden="1"/>
    <cellStyle name="Lien hypertexte" xfId="75" builtinId="8" hidden="1"/>
    <cellStyle name="Lien hypertexte" xfId="77" builtinId="8" hidden="1"/>
    <cellStyle name="Lien hypertexte" xfId="79" builtinId="8" hidden="1"/>
    <cellStyle name="Lien hypertexte" xfId="81" builtinId="8" hidden="1"/>
    <cellStyle name="Lien hypertexte" xfId="83" builtinId="8" hidden="1"/>
    <cellStyle name="Lien hypertexte" xfId="85" builtinId="8" hidden="1"/>
    <cellStyle name="Lien hypertexte" xfId="87" builtinId="8" hidden="1"/>
    <cellStyle name="Lien hypertexte" xfId="89" builtinId="8" hidden="1"/>
    <cellStyle name="Lien hypertexte" xfId="91" builtinId="8" hidden="1"/>
    <cellStyle name="Lien hypertexte" xfId="93" builtinId="8" hidden="1"/>
    <cellStyle name="Lien hypertexte" xfId="95" builtinId="8" hidden="1"/>
    <cellStyle name="Lien hypertexte" xfId="97" builtinId="8" hidden="1"/>
    <cellStyle name="Lien hypertexte" xfId="99" builtinId="8" hidden="1"/>
    <cellStyle name="Lien hypertexte" xfId="101" builtinId="8" hidden="1"/>
    <cellStyle name="Lien hypertexte" xfId="103" builtinId="8" hidden="1"/>
    <cellStyle name="Lien hypertexte" xfId="105" builtinId="8" hidden="1"/>
    <cellStyle name="Lien hypertexte" xfId="107" builtinId="8" hidden="1"/>
    <cellStyle name="Lien hypertexte" xfId="109" builtinId="8" hidden="1"/>
    <cellStyle name="Lien hypertexte" xfId="111" builtinId="8" hidden="1"/>
    <cellStyle name="Lien hypertexte" xfId="113" builtinId="8" hidden="1"/>
    <cellStyle name="Lien hypertexte" xfId="115" builtinId="8" hidden="1"/>
    <cellStyle name="Lien hypertexte" xfId="117" builtinId="8" hidden="1"/>
    <cellStyle name="Lien hypertexte" xfId="119" builtinId="8" hidden="1"/>
    <cellStyle name="Lien hypertexte" xfId="121" builtinId="8" hidden="1"/>
    <cellStyle name="Lien hypertexte" xfId="123" builtinId="8" hidden="1"/>
    <cellStyle name="Lien hypertexte" xfId="125" builtinId="8" hidden="1"/>
    <cellStyle name="Lien hypertexte" xfId="127" builtinId="8" hidden="1"/>
    <cellStyle name="Lien hypertexte" xfId="129" builtinId="8" hidden="1"/>
    <cellStyle name="Lien hypertexte" xfId="131" builtinId="8" hidden="1"/>
    <cellStyle name="Lien hypertexte" xfId="133" builtinId="8" hidden="1"/>
    <cellStyle name="Lien hypertexte" xfId="135" builtinId="8" hidden="1"/>
    <cellStyle name="Lien hypertexte" xfId="137" builtinId="8" hidden="1"/>
    <cellStyle name="Lien hypertexte" xfId="139" builtinId="8" hidden="1"/>
    <cellStyle name="Lien hypertexte" xfId="141" builtinId="8" hidden="1"/>
    <cellStyle name="Lien hypertexte" xfId="143" builtinId="8" hidden="1"/>
    <cellStyle name="Lien hypertexte" xfId="145" builtinId="8" hidden="1"/>
    <cellStyle name="Lien hypertexte" xfId="147" builtinId="8" hidden="1"/>
    <cellStyle name="Lien hypertexte" xfId="149" builtinId="8" hidden="1"/>
    <cellStyle name="Lien hypertexte" xfId="151" builtinId="8" hidden="1"/>
    <cellStyle name="Lien hypertexte" xfId="153" builtinId="8" hidden="1"/>
    <cellStyle name="Lien hypertexte" xfId="155" builtinId="8" hidden="1"/>
    <cellStyle name="Lien hypertexte" xfId="157" builtinId="8" hidden="1"/>
    <cellStyle name="Lien hypertexte" xfId="159" builtinId="8" hidden="1"/>
    <cellStyle name="Lien hypertexte" xfId="161" builtinId="8" hidden="1"/>
    <cellStyle name="Lien hypertexte" xfId="163" builtinId="8" hidden="1"/>
    <cellStyle name="Lien hypertexte" xfId="165" builtinId="8" hidden="1"/>
    <cellStyle name="Lien hypertexte" xfId="167" builtinId="8" hidden="1"/>
    <cellStyle name="Lien hypertexte" xfId="169" builtinId="8" hidden="1"/>
    <cellStyle name="Lien hypertexte" xfId="171" builtinId="8" hidden="1"/>
    <cellStyle name="Lien hypertexte" xfId="173" builtinId="8" hidden="1"/>
    <cellStyle name="Lien hypertexte" xfId="175" builtinId="8" hidden="1"/>
    <cellStyle name="Lien hypertexte" xfId="177" builtinId="8" hidden="1"/>
    <cellStyle name="Lien hypertexte" xfId="179" builtinId="8" hidden="1"/>
    <cellStyle name="Lien hypertexte" xfId="181" builtinId="8" hidden="1"/>
    <cellStyle name="Lien hypertexte" xfId="183" builtinId="8" hidden="1"/>
    <cellStyle name="Lien hypertexte" xfId="185" builtinId="8" hidden="1"/>
    <cellStyle name="Lien hypertexte" xfId="187" builtinId="8" hidden="1"/>
    <cellStyle name="Lien hypertexte" xfId="189" builtinId="8" hidden="1"/>
    <cellStyle name="Lien hypertexte visité" xfId="2" builtinId="9" hidden="1"/>
    <cellStyle name="Lien hypertexte visité" xfId="4" builtinId="9" hidden="1"/>
    <cellStyle name="Lien hypertexte visité" xfId="6" builtinId="9" hidden="1"/>
    <cellStyle name="Lien hypertexte visité" xfId="8" builtinId="9" hidden="1"/>
    <cellStyle name="Lien hypertexte visité" xfId="10" builtinId="9" hidden="1"/>
    <cellStyle name="Lien hypertexte visité" xfId="12" builtinId="9" hidden="1"/>
    <cellStyle name="Lien hypertexte visité" xfId="14" builtinId="9" hidden="1"/>
    <cellStyle name="Lien hypertexte visité" xfId="16" builtinId="9" hidden="1"/>
    <cellStyle name="Lien hypertexte visité" xfId="18" builtinId="9" hidden="1"/>
    <cellStyle name="Lien hypertexte visité" xfId="20" builtinId="9" hidden="1"/>
    <cellStyle name="Lien hypertexte visité" xfId="22" builtinId="9" hidden="1"/>
    <cellStyle name="Lien hypertexte visité" xfId="24" builtinId="9" hidden="1"/>
    <cellStyle name="Lien hypertexte visité" xfId="26" builtinId="9" hidden="1"/>
    <cellStyle name="Lien hypertexte visité" xfId="28" builtinId="9" hidden="1"/>
    <cellStyle name="Lien hypertexte visité" xfId="30" builtinId="9" hidden="1"/>
    <cellStyle name="Lien hypertexte visité" xfId="32" builtinId="9" hidden="1"/>
    <cellStyle name="Lien hypertexte visité" xfId="34" builtinId="9" hidden="1"/>
    <cellStyle name="Lien hypertexte visité" xfId="36" builtinId="9" hidden="1"/>
    <cellStyle name="Lien hypertexte visité" xfId="38" builtinId="9" hidden="1"/>
    <cellStyle name="Lien hypertexte visité" xfId="40" builtinId="9" hidden="1"/>
    <cellStyle name="Lien hypertexte visité" xfId="42" builtinId="9" hidden="1"/>
    <cellStyle name="Lien hypertexte visité" xfId="44" builtinId="9" hidden="1"/>
    <cellStyle name="Lien hypertexte visité" xfId="46" builtinId="9" hidden="1"/>
    <cellStyle name="Lien hypertexte visité" xfId="48" builtinId="9" hidden="1"/>
    <cellStyle name="Lien hypertexte visité" xfId="50" builtinId="9" hidden="1"/>
    <cellStyle name="Lien hypertexte visité" xfId="52" builtinId="9" hidden="1"/>
    <cellStyle name="Lien hypertexte visité" xfId="54" builtinId="9" hidden="1"/>
    <cellStyle name="Lien hypertexte visité" xfId="56" builtinId="9" hidden="1"/>
    <cellStyle name="Lien hypertexte visité" xfId="58" builtinId="9" hidden="1"/>
    <cellStyle name="Lien hypertexte visité" xfId="60" builtinId="9" hidden="1"/>
    <cellStyle name="Lien hypertexte visité" xfId="62" builtinId="9" hidden="1"/>
    <cellStyle name="Lien hypertexte visité" xfId="64" builtinId="9" hidden="1"/>
    <cellStyle name="Lien hypertexte visité" xfId="66" builtinId="9" hidden="1"/>
    <cellStyle name="Lien hypertexte visité" xfId="68" builtinId="9" hidden="1"/>
    <cellStyle name="Lien hypertexte visité" xfId="70" builtinId="9" hidden="1"/>
    <cellStyle name="Lien hypertexte visité" xfId="72" builtinId="9" hidden="1"/>
    <cellStyle name="Lien hypertexte visité" xfId="74" builtinId="9" hidden="1"/>
    <cellStyle name="Lien hypertexte visité" xfId="76" builtinId="9" hidden="1"/>
    <cellStyle name="Lien hypertexte visité" xfId="78" builtinId="9" hidden="1"/>
    <cellStyle name="Lien hypertexte visité" xfId="80" builtinId="9" hidden="1"/>
    <cellStyle name="Lien hypertexte visité" xfId="82" builtinId="9" hidden="1"/>
    <cellStyle name="Lien hypertexte visité" xfId="84" builtinId="9" hidden="1"/>
    <cellStyle name="Lien hypertexte visité" xfId="86" builtinId="9" hidden="1"/>
    <cellStyle name="Lien hypertexte visité" xfId="88" builtinId="9" hidden="1"/>
    <cellStyle name="Lien hypertexte visité" xfId="90" builtinId="9" hidden="1"/>
    <cellStyle name="Lien hypertexte visité" xfId="92" builtinId="9" hidden="1"/>
    <cellStyle name="Lien hypertexte visité" xfId="94" builtinId="9" hidden="1"/>
    <cellStyle name="Lien hypertexte visité" xfId="96" builtinId="9" hidden="1"/>
    <cellStyle name="Lien hypertexte visité" xfId="98" builtinId="9" hidden="1"/>
    <cellStyle name="Lien hypertexte visité" xfId="100" builtinId="9" hidden="1"/>
    <cellStyle name="Lien hypertexte visité" xfId="102" builtinId="9" hidden="1"/>
    <cellStyle name="Lien hypertexte visité" xfId="104" builtinId="9" hidden="1"/>
    <cellStyle name="Lien hypertexte visité" xfId="106" builtinId="9" hidden="1"/>
    <cellStyle name="Lien hypertexte visité" xfId="108" builtinId="9" hidden="1"/>
    <cellStyle name="Lien hypertexte visité" xfId="110" builtinId="9" hidden="1"/>
    <cellStyle name="Lien hypertexte visité" xfId="112" builtinId="9" hidden="1"/>
    <cellStyle name="Lien hypertexte visité" xfId="114" builtinId="9" hidden="1"/>
    <cellStyle name="Lien hypertexte visité" xfId="116" builtinId="9" hidden="1"/>
    <cellStyle name="Lien hypertexte visité" xfId="118" builtinId="9" hidden="1"/>
    <cellStyle name="Lien hypertexte visité" xfId="120" builtinId="9" hidden="1"/>
    <cellStyle name="Lien hypertexte visité" xfId="122" builtinId="9" hidden="1"/>
    <cellStyle name="Lien hypertexte visité" xfId="124" builtinId="9" hidden="1"/>
    <cellStyle name="Lien hypertexte visité" xfId="126" builtinId="9" hidden="1"/>
    <cellStyle name="Lien hypertexte visité" xfId="128" builtinId="9" hidden="1"/>
    <cellStyle name="Lien hypertexte visité" xfId="130" builtinId="9" hidden="1"/>
    <cellStyle name="Lien hypertexte visité" xfId="132" builtinId="9" hidden="1"/>
    <cellStyle name="Lien hypertexte visité" xfId="134" builtinId="9" hidden="1"/>
    <cellStyle name="Lien hypertexte visité" xfId="136" builtinId="9" hidden="1"/>
    <cellStyle name="Lien hypertexte visité" xfId="138" builtinId="9" hidden="1"/>
    <cellStyle name="Lien hypertexte visité" xfId="140" builtinId="9" hidden="1"/>
    <cellStyle name="Lien hypertexte visité" xfId="142" builtinId="9" hidden="1"/>
    <cellStyle name="Lien hypertexte visité" xfId="144" builtinId="9" hidden="1"/>
    <cellStyle name="Lien hypertexte visité" xfId="146" builtinId="9" hidden="1"/>
    <cellStyle name="Lien hypertexte visité" xfId="148" builtinId="9" hidden="1"/>
    <cellStyle name="Lien hypertexte visité" xfId="150" builtinId="9" hidden="1"/>
    <cellStyle name="Lien hypertexte visité" xfId="152" builtinId="9" hidden="1"/>
    <cellStyle name="Lien hypertexte visité" xfId="154" builtinId="9" hidden="1"/>
    <cellStyle name="Lien hypertexte visité" xfId="156" builtinId="9" hidden="1"/>
    <cellStyle name="Lien hypertexte visité" xfId="158" builtinId="9" hidden="1"/>
    <cellStyle name="Lien hypertexte visité" xfId="160" builtinId="9" hidden="1"/>
    <cellStyle name="Lien hypertexte visité" xfId="162" builtinId="9" hidden="1"/>
    <cellStyle name="Lien hypertexte visité" xfId="164" builtinId="9" hidden="1"/>
    <cellStyle name="Lien hypertexte visité" xfId="166" builtinId="9" hidden="1"/>
    <cellStyle name="Lien hypertexte visité" xfId="168" builtinId="9" hidden="1"/>
    <cellStyle name="Lien hypertexte visité" xfId="170" builtinId="9" hidden="1"/>
    <cellStyle name="Lien hypertexte visité" xfId="172" builtinId="9" hidden="1"/>
    <cellStyle name="Lien hypertexte visité" xfId="174" builtinId="9" hidden="1"/>
    <cellStyle name="Lien hypertexte visité" xfId="176" builtinId="9" hidden="1"/>
    <cellStyle name="Lien hypertexte visité" xfId="178" builtinId="9" hidden="1"/>
    <cellStyle name="Lien hypertexte visité" xfId="180" builtinId="9" hidden="1"/>
    <cellStyle name="Lien hypertexte visité" xfId="182" builtinId="9" hidden="1"/>
    <cellStyle name="Lien hypertexte visité" xfId="184" builtinId="9" hidden="1"/>
    <cellStyle name="Lien hypertexte visité" xfId="186" builtinId="9" hidden="1"/>
    <cellStyle name="Lien hypertexte visité" xfId="188" builtinId="9" hidden="1"/>
    <cellStyle name="Lien hypertexte visité" xfId="190" builtinId="9" hidden="1"/>
    <cellStyle name="Normal" xfId="0" builtinId="0"/>
  </cellStyles>
  <dxfs count="50">
    <dxf>
      <font>
        <color theme="0"/>
      </font>
      <fill>
        <patternFill>
          <bgColor rgb="FFFF0000"/>
        </patternFill>
      </fill>
    </dxf>
    <dxf>
      <font>
        <color rgb="FF9C0006"/>
      </font>
      <fill>
        <patternFill>
          <bgColor rgb="FFFFC7CE"/>
        </patternFill>
      </fill>
    </dxf>
    <dxf>
      <font>
        <color theme="0"/>
      </font>
      <fill>
        <patternFill>
          <bgColor rgb="FFFF0000"/>
        </patternFill>
      </fill>
    </dxf>
    <dxf>
      <alignment horizontal="center" vertical="bottom" textRotation="0" wrapText="0" indent="0" relativeIndent="255" justifyLastLine="0" shrinkToFit="0"/>
    </dxf>
    <dxf>
      <alignment horizontal="center" vertical="bottom" textRotation="0" wrapText="0" indent="0" relativeIndent="255" justifyLastLine="0" shrinkToFit="0"/>
    </dxf>
    <dxf>
      <alignment horizontal="center" vertical="bottom" textRotation="0" wrapText="0" indent="0" relativeIndent="255" justifyLastLine="0" shrinkToFit="0"/>
    </dxf>
    <dxf>
      <alignment horizontal="center" vertical="bottom" textRotation="0" wrapText="0" indent="0" relativeIndent="255" justifyLastLine="0" shrinkToFit="0"/>
    </dxf>
    <dxf>
      <alignment horizontal="center" vertical="bottom" textRotation="0" wrapText="0" indent="0" relativeIndent="255" justifyLastLine="0" shrinkToFit="0"/>
    </dxf>
    <dxf>
      <numFmt numFmtId="0" formatCode="General"/>
    </dxf>
    <dxf>
      <alignment horizontal="center" vertical="bottom" textRotation="0" wrapText="0" indent="0" relativeIndent="255" justifyLastLine="0" shrinkToFit="0"/>
    </dxf>
    <dxf>
      <alignment horizontal="center" vertical="bottom" textRotation="0" wrapText="0" indent="0" relativeIndent="255" justifyLastLine="0" shrinkToFit="0"/>
    </dxf>
    <dxf>
      <numFmt numFmtId="0" formatCode="General"/>
      <alignment horizontal="center" vertical="bottom" textRotation="0" wrapText="0" indent="0" relativeIndent="255" justifyLastLine="0" shrinkToFit="0" readingOrder="0"/>
    </dxf>
    <dxf>
      <numFmt numFmtId="164" formatCode="yyyy\-mm\-dd\ hh:mm:ss"/>
      <alignment horizontal="left" vertical="bottom" textRotation="0" wrapText="0" indent="0" relativeIndent="255" justifyLastLine="0" shrinkToFit="0"/>
    </dxf>
    <dxf>
      <border outline="0">
        <bottom style="thin">
          <color rgb="FF000000"/>
        </bottom>
      </border>
    </dxf>
    <dxf>
      <font>
        <b/>
        <i val="0"/>
        <strike val="0"/>
        <condense val="0"/>
        <extend val="0"/>
        <outline val="0"/>
        <shadow val="0"/>
        <u val="none"/>
        <vertAlign val="baseline"/>
        <sz val="11"/>
        <color theme="1"/>
        <name val="Arial Narrow"/>
        <scheme val="none"/>
      </font>
    </dxf>
    <dxf>
      <alignment horizontal="center" vertical="bottom" textRotation="0" wrapText="0" indent="0" relativeIndent="255" justifyLastLine="0" shrinkToFit="0"/>
    </dxf>
    <dxf>
      <alignment horizontal="center" vertical="bottom" textRotation="0" wrapText="0" indent="0" relativeIndent="255" justifyLastLine="0" shrinkToFit="0"/>
    </dxf>
    <dxf>
      <alignment horizontal="center" vertical="bottom" textRotation="0" wrapText="0" indent="0" relativeIndent="255" justifyLastLine="0" shrinkToFit="0"/>
    </dxf>
    <dxf>
      <alignment horizontal="center" vertical="bottom" textRotation="0" wrapText="0" indent="0" relativeIndent="255" justifyLastLine="0" shrinkToFit="0"/>
    </dxf>
    <dxf>
      <alignment horizontal="center" vertical="bottom" textRotation="0" wrapText="0" indent="0" relativeIndent="255" justifyLastLine="0" shrinkToFit="0"/>
    </dxf>
    <dxf>
      <numFmt numFmtId="0" formatCode="General"/>
    </dxf>
    <dxf>
      <alignment horizontal="center" vertical="bottom" textRotation="0" wrapText="0" indent="0" relativeIndent="255" justifyLastLine="0" shrinkToFit="0"/>
    </dxf>
    <dxf>
      <alignment horizontal="center" vertical="bottom" textRotation="0" wrapText="0" indent="0" relativeIndent="255" justifyLastLine="0" shrinkToFit="0"/>
    </dxf>
    <dxf>
      <numFmt numFmtId="0" formatCode="General"/>
      <alignment horizontal="center" vertical="bottom" textRotation="0" wrapText="0" indent="0" relativeIndent="255" justifyLastLine="0" shrinkToFit="0" readingOrder="0"/>
    </dxf>
    <dxf>
      <numFmt numFmtId="164" formatCode="yyyy\-mm\-dd\ hh:mm:ss"/>
      <alignment horizontal="left" vertical="bottom" textRotation="0" wrapText="0" indent="0" relativeIndent="255" justifyLastLine="0" shrinkToFit="0"/>
    </dxf>
    <dxf>
      <border outline="0">
        <bottom style="thin">
          <color indexed="64"/>
        </bottom>
      </border>
    </dxf>
    <dxf>
      <font>
        <b/>
        <i val="0"/>
        <strike val="0"/>
        <condense val="0"/>
        <extend val="0"/>
        <outline val="0"/>
        <shadow val="0"/>
        <u val="none"/>
        <vertAlign val="baseline"/>
        <sz val="11"/>
        <color theme="1"/>
        <name val="Arial Narrow"/>
        <scheme val="none"/>
      </font>
    </dxf>
    <dxf>
      <alignment horizontal="general" vertical="top" textRotation="0" wrapText="1" indent="0" relativeIndent="255" justifyLastLine="0" shrinkToFit="0" mergeCell="0" readingOrder="0"/>
    </dxf>
    <dxf>
      <alignment horizontal="general" vertical="top" textRotation="0" indent="0" relativeIndent="255" justifyLastLine="0" shrinkToFit="0" mergeCell="0" readingOrder="0"/>
    </dxf>
    <dxf>
      <alignment horizontal="general" vertical="top" textRotation="0" indent="0" relativeIndent="255" justifyLastLine="0" shrinkToFit="0" mergeCell="0" readingOrder="0"/>
    </dxf>
    <dxf>
      <alignment horizontal="general" vertical="top" textRotation="0" indent="0" relativeIndent="255" justifyLastLine="0" shrinkToFit="0" mergeCell="0" readingOrder="0"/>
    </dxf>
    <dxf>
      <alignment horizontal="general" vertical="top" textRotation="0" wrapText="1" indent="0" relativeIndent="255" justifyLastLine="0" shrinkToFit="0" mergeCell="0" readingOrder="0"/>
    </dxf>
    <dxf>
      <alignment horizontal="general" vertical="top" textRotation="0" wrapText="1" indent="0" relativeIndent="255" justifyLastLine="0" shrinkToFit="0" mergeCell="0" readingOrder="0"/>
    </dxf>
    <dxf>
      <alignment horizontal="general" vertical="top" textRotation="0" indent="0" relativeIndent="255" justifyLastLine="0" shrinkToFit="0" mergeCell="0" readingOrder="0"/>
    </dxf>
    <dxf>
      <alignment horizontal="general" vertical="top" textRotation="0" indent="0" relativeIndent="255" justifyLastLine="0" shrinkToFit="0" mergeCell="0" readingOrder="0"/>
    </dxf>
    <dxf>
      <border>
        <top style="hair">
          <color theme="8" tint="-0.24994659260841701"/>
        </top>
        <vertical/>
        <horizontal/>
      </border>
    </dxf>
    <dxf>
      <border diagonalUp="0" diagonalDown="0">
        <left style="thin">
          <color theme="3" tint="-0.499984740745262"/>
        </left>
        <right style="thin">
          <color theme="3" tint="-0.499984740745262"/>
        </right>
        <top style="thin">
          <color theme="3" tint="-0.499984740745262"/>
        </top>
        <bottom style="thin">
          <color theme="3" tint="-0.499984740745262"/>
        </bottom>
      </border>
    </dxf>
    <dxf>
      <alignment vertical="top" textRotation="0" indent="0" relativeIndent="255" justifyLastLine="0" shrinkToFit="0" readingOrder="0"/>
    </dxf>
    <dxf>
      <border>
        <bottom style="hair">
          <color theme="8" tint="-0.24994659260841701"/>
        </bottom>
        <vertical/>
        <horizontal/>
      </border>
    </dxf>
    <dxf>
      <font>
        <strike val="0"/>
        <outline val="0"/>
        <shadow val="0"/>
        <u val="none"/>
        <vertAlign val="baseline"/>
        <sz val="13"/>
        <color theme="1"/>
        <name val="Arial Narrow"/>
        <scheme val="none"/>
      </font>
      <fill>
        <patternFill patternType="solid">
          <fgColor indexed="64"/>
          <bgColor theme="1" tint="0.499984740745262"/>
        </patternFill>
      </fill>
    </dxf>
    <dxf>
      <border>
        <left style="thin">
          <color theme="4"/>
        </left>
      </border>
    </dxf>
    <dxf>
      <border>
        <left style="thin">
          <color theme="4"/>
        </left>
      </border>
    </dxf>
    <dxf>
      <font>
        <b/>
        <color theme="1"/>
      </font>
    </dxf>
    <dxf>
      <font>
        <b/>
        <color theme="1"/>
      </font>
    </dxf>
    <dxf>
      <font>
        <b/>
        <color theme="1"/>
      </font>
      <border>
        <top style="double">
          <color theme="4"/>
        </top>
      </border>
    </dxf>
    <dxf>
      <font>
        <color theme="0"/>
      </font>
      <fill>
        <patternFill patternType="solid">
          <fgColor theme="4"/>
          <bgColor theme="4"/>
        </patternFill>
      </fill>
    </dxf>
    <dxf>
      <font>
        <color theme="1"/>
      </font>
      <border>
        <left style="thin">
          <color theme="4"/>
        </left>
        <right style="thin">
          <color theme="4"/>
        </right>
        <top style="thin">
          <color theme="4"/>
        </top>
        <bottom style="thin">
          <color theme="4"/>
        </bottom>
        <vertical style="hair">
          <color theme="0" tint="-0.499984740745262"/>
        </vertical>
        <horizontal style="hair">
          <color theme="0" tint="-0.499984740745262"/>
        </horizontal>
      </border>
    </dxf>
    <dxf>
      <border>
        <bottom style="thin">
          <color theme="8" tint="-0.24994659260841701"/>
        </bottom>
      </border>
    </dxf>
    <dxf>
      <border>
        <bottom style="thin">
          <color theme="8" tint="-0.24994659260841701"/>
        </bottom>
      </border>
    </dxf>
    <dxf>
      <font>
        <b val="0"/>
        <i val="0"/>
      </font>
    </dxf>
  </dxfs>
  <tableStyles count="3" defaultTableStyle="TableStyleMedium9" defaultPivotStyle="PivotStyleLight16">
    <tableStyle name="Style de tableau 1" pivot="0" count="1">
      <tableStyleElement type="headerRow" dxfId="49"/>
    </tableStyle>
    <tableStyle name="Style de tableau croisé dynamique 1" table="0" count="2">
      <tableStyleElement type="firstRowStripe" size="5" dxfId="48"/>
      <tableStyleElement type="secondRowStripe" size="5" dxfId="47"/>
    </tableStyle>
    <tableStyle name="TableStyleLight9 2" pivot="0" count="7">
      <tableStyleElement type="wholeTable" dxfId="46"/>
      <tableStyleElement type="headerRow" dxfId="45"/>
      <tableStyleElement type="totalRow" dxfId="44"/>
      <tableStyleElement type="firstColumn" dxfId="43"/>
      <tableStyleElement type="lastColumn" dxfId="42"/>
      <tableStyleElement type="firstColumnStripe" dxfId="41"/>
      <tableStyleElement type="secondColumnStripe" dxfId="40"/>
    </tableStyle>
  </tableStyles>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lang val="fr-CH"/>
  <c:style val="18"/>
  <c:chart>
    <c:title>
      <c:tx>
        <c:rich>
          <a:bodyPr/>
          <a:lstStyle/>
          <a:p>
            <a:pPr>
              <a:defRPr/>
            </a:pPr>
            <a:r>
              <a:rPr lang="fr-FR"/>
              <a:t>Répartition du temps par</a:t>
            </a:r>
            <a:r>
              <a:rPr lang="fr-FR" baseline="0"/>
              <a:t> activités</a:t>
            </a:r>
          </a:p>
        </c:rich>
      </c:tx>
      <c:layout/>
    </c:title>
    <c:plotArea>
      <c:layout/>
      <c:pieChart>
        <c:varyColors val="1"/>
        <c:ser>
          <c:idx val="0"/>
          <c:order val="0"/>
          <c:tx>
            <c:strRef>
              <c:f>log!$P$22</c:f>
              <c:strCache>
                <c:ptCount val="1"/>
                <c:pt idx="0">
                  <c:v>Total</c:v>
                </c:pt>
              </c:strCache>
            </c:strRef>
          </c:tx>
          <c:cat>
            <c:strRef>
              <c:f>log!$O$23:$O$39</c:f>
              <c:strCache>
                <c:ptCount val="15"/>
                <c:pt idx="0">
                  <c:v>VISITE</c:v>
                </c:pt>
                <c:pt idx="1">
                  <c:v>DOSSIER</c:v>
                </c:pt>
                <c:pt idx="2">
                  <c:v>SUPERVIS</c:v>
                </c:pt>
                <c:pt idx="3">
                  <c:v>LDS</c:v>
                </c:pt>
                <c:pt idx="4">
                  <c:v>COLLOQUE</c:v>
                </c:pt>
                <c:pt idx="5">
                  <c:v>TRANSIT</c:v>
                </c:pt>
                <c:pt idx="6">
                  <c:v>ENTREE</c:v>
                </c:pt>
                <c:pt idx="7">
                  <c:v>TRANSMIS</c:v>
                </c:pt>
                <c:pt idx="8">
                  <c:v>ADMIN</c:v>
                </c:pt>
                <c:pt idx="9">
                  <c:v>PERSONEL</c:v>
                </c:pt>
                <c:pt idx="10">
                  <c:v>FO_RECUE</c:v>
                </c:pt>
                <c:pt idx="11">
                  <c:v>CONTACT</c:v>
                </c:pt>
                <c:pt idx="12">
                  <c:v>FO_DONNE</c:v>
                </c:pt>
                <c:pt idx="13">
                  <c:v>RECHINFO</c:v>
                </c:pt>
                <c:pt idx="14">
                  <c:v>Total général</c:v>
                </c:pt>
              </c:strCache>
            </c:strRef>
          </c:cat>
          <c:val>
            <c:numRef>
              <c:f>log!$P$23:$P$39</c:f>
              <c:numCache>
                <c:formatCode>General</c:formatCode>
                <c:ptCount val="17"/>
                <c:pt idx="0">
                  <c:v>25803</c:v>
                </c:pt>
                <c:pt idx="1">
                  <c:v>6048</c:v>
                </c:pt>
                <c:pt idx="2">
                  <c:v>2765</c:v>
                </c:pt>
                <c:pt idx="3">
                  <c:v>67805</c:v>
                </c:pt>
                <c:pt idx="4">
                  <c:v>691</c:v>
                </c:pt>
                <c:pt idx="5">
                  <c:v>5222</c:v>
                </c:pt>
                <c:pt idx="6">
                  <c:v>345</c:v>
                </c:pt>
                <c:pt idx="7">
                  <c:v>1728</c:v>
                </c:pt>
                <c:pt idx="8">
                  <c:v>259</c:v>
                </c:pt>
                <c:pt idx="9">
                  <c:v>1728</c:v>
                </c:pt>
                <c:pt idx="10">
                  <c:v>1987</c:v>
                </c:pt>
                <c:pt idx="11">
                  <c:v>3894</c:v>
                </c:pt>
                <c:pt idx="12">
                  <c:v>2765</c:v>
                </c:pt>
                <c:pt idx="13">
                  <c:v>1758</c:v>
                </c:pt>
                <c:pt idx="14">
                  <c:v>122798</c:v>
                </c:pt>
              </c:numCache>
            </c:numRef>
          </c:val>
        </c:ser>
        <c:firstSliceAng val="0"/>
      </c:pieChart>
    </c:plotArea>
    <c:legend>
      <c:legendPos val="r"/>
      <c:layout/>
    </c:legend>
    <c:plotVisOnly val="1"/>
    <c:dispBlanksAs val="zero"/>
  </c:chart>
  <c:printSettings>
    <c:headerFooter/>
    <c:pageMargins b="1" l="0.75000000000000122" r="0.75000000000000122"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fr-CH"/>
  <c:style val="18"/>
  <c:chart>
    <c:title>
      <c:tx>
        <c:rich>
          <a:bodyPr/>
          <a:lstStyle/>
          <a:p>
            <a:pPr>
              <a:defRPr/>
            </a:pPr>
            <a:r>
              <a:rPr lang="fr-FR"/>
              <a:t>Temps</a:t>
            </a:r>
            <a:r>
              <a:rPr lang="fr-FR" baseline="0"/>
              <a:t> avec l'ordinateur</a:t>
            </a:r>
            <a:endParaRPr lang="fr-FR"/>
          </a:p>
        </c:rich>
      </c:tx>
    </c:title>
    <c:plotArea>
      <c:layout/>
      <c:pieChart>
        <c:varyColors val="1"/>
        <c:ser>
          <c:idx val="0"/>
          <c:order val="0"/>
          <c:tx>
            <c:strRef>
              <c:f>log!$P$22</c:f>
              <c:strCache>
                <c:ptCount val="1"/>
                <c:pt idx="0">
                  <c:v>Total</c:v>
                </c:pt>
              </c:strCache>
            </c:strRef>
          </c:tx>
          <c:cat>
            <c:numRef>
              <c:f>log!$O$44:$O$45</c:f>
              <c:numCache>
                <c:formatCode>General</c:formatCode>
                <c:ptCount val="2"/>
                <c:pt idx="0">
                  <c:v>0</c:v>
                </c:pt>
                <c:pt idx="1">
                  <c:v>1</c:v>
                </c:pt>
              </c:numCache>
            </c:numRef>
          </c:cat>
          <c:val>
            <c:numRef>
              <c:f>log!$P$44:$P$45</c:f>
              <c:numCache>
                <c:formatCode>General</c:formatCode>
                <c:ptCount val="2"/>
                <c:pt idx="0">
                  <c:v>35095</c:v>
                </c:pt>
                <c:pt idx="1">
                  <c:v>87703</c:v>
                </c:pt>
              </c:numCache>
            </c:numRef>
          </c:val>
        </c:ser>
        <c:firstSliceAng val="0"/>
      </c:pieChart>
    </c:plotArea>
    <c:legend>
      <c:legendPos val="r"/>
    </c:legend>
    <c:plotVisOnly val="1"/>
    <c:dispBlanksAs val="zero"/>
  </c:chart>
  <c:printSettings>
    <c:headerFooter/>
    <c:pageMargins b="1" l="0.75000000000000122" r="0.75000000000000122"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fr-CH"/>
  <c:style val="18"/>
  <c:chart>
    <c:title>
      <c:tx>
        <c:rich>
          <a:bodyPr/>
          <a:lstStyle/>
          <a:p>
            <a:pPr>
              <a:defRPr/>
            </a:pPr>
            <a:r>
              <a:rPr lang="fr-FR"/>
              <a:t>Temps</a:t>
            </a:r>
            <a:r>
              <a:rPr lang="fr-FR" baseline="0"/>
              <a:t> avec le patient</a:t>
            </a:r>
            <a:endParaRPr lang="fr-FR"/>
          </a:p>
        </c:rich>
      </c:tx>
    </c:title>
    <c:plotArea>
      <c:layout/>
      <c:pieChart>
        <c:varyColors val="1"/>
        <c:ser>
          <c:idx val="0"/>
          <c:order val="0"/>
          <c:tx>
            <c:strRef>
              <c:f>log!$P$22</c:f>
              <c:strCache>
                <c:ptCount val="1"/>
                <c:pt idx="0">
                  <c:v>Total</c:v>
                </c:pt>
              </c:strCache>
            </c:strRef>
          </c:tx>
          <c:cat>
            <c:numRef>
              <c:f>log!$O$63:$O$64</c:f>
              <c:numCache>
                <c:formatCode>General</c:formatCode>
                <c:ptCount val="2"/>
                <c:pt idx="0">
                  <c:v>0</c:v>
                </c:pt>
                <c:pt idx="1">
                  <c:v>1</c:v>
                </c:pt>
              </c:numCache>
            </c:numRef>
          </c:cat>
          <c:val>
            <c:numRef>
              <c:f>log!$P$63:$P$64</c:f>
              <c:numCache>
                <c:formatCode>General</c:formatCode>
                <c:ptCount val="2"/>
                <c:pt idx="0">
                  <c:v>97361</c:v>
                </c:pt>
                <c:pt idx="1">
                  <c:v>25437</c:v>
                </c:pt>
              </c:numCache>
            </c:numRef>
          </c:val>
        </c:ser>
        <c:firstSliceAng val="0"/>
      </c:pieChart>
    </c:plotArea>
    <c:legend>
      <c:legendPos val="r"/>
    </c:legend>
    <c:plotVisOnly val="1"/>
    <c:dispBlanksAs val="zero"/>
  </c:chart>
  <c:printSettings>
    <c:headerFooter/>
    <c:pageMargins b="1" l="0.75000000000000122" r="0.75000000000000122" t="1" header="0.5" footer="0.5"/>
    <c:pageSetup/>
  </c:printSettings>
</c:chartSpac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checked="Checked" firstButton="1" fmlaLink="$H$16"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Drop" dropLines="115" dropStyle="combo" dx="16" fmlaLink="$E$16" fmlaRange="ACTIF" sel="15" val="0"/>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checked="Checked" firstButton="1" fmlaLink="$I$16"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fmlaLink="$J$16"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Radio" checked="Checked" firstButton="1" fmlaLink="$G$16"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Label"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xdr:col>
      <xdr:colOff>738575</xdr:colOff>
      <xdr:row>3</xdr:row>
      <xdr:rowOff>132862</xdr:rowOff>
    </xdr:to>
    <xdr:pic>
      <xdr:nvPicPr>
        <xdr:cNvPr id="3" name="Picture 1" descr="F:\idCHUV_lettre-2\word\media\image1.png"/>
        <xdr:cNvPicPr>
          <a:picLocks noChangeAspect="1"/>
        </xdr:cNvPicPr>
      </xdr:nvPicPr>
      <xdr:blipFill>
        <a:blip xmlns:r="http://schemas.openxmlformats.org/officeDocument/2006/relationships" r:embed="rId1" cstate="print"/>
        <a:stretch>
          <a:fillRect/>
        </a:stretch>
      </xdr:blipFill>
      <xdr:spPr bwMode="auto">
        <a:xfrm>
          <a:off x="0" y="0"/>
          <a:ext cx="2643575" cy="656737"/>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16</xdr:col>
      <xdr:colOff>292100</xdr:colOff>
      <xdr:row>19</xdr:row>
      <xdr:rowOff>88900</xdr:rowOff>
    </xdr:from>
    <xdr:to>
      <xdr:col>21</xdr:col>
      <xdr:colOff>114300</xdr:colOff>
      <xdr:row>58</xdr:row>
      <xdr:rowOff>190500</xdr:rowOff>
    </xdr:to>
    <xdr:graphicFrame macro="">
      <xdr:nvGraphicFramePr>
        <xdr:cNvPr id="4" name="Graphique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355600</xdr:colOff>
      <xdr:row>19</xdr:row>
      <xdr:rowOff>88900</xdr:rowOff>
    </xdr:from>
    <xdr:to>
      <xdr:col>26</xdr:col>
      <xdr:colOff>393700</xdr:colOff>
      <xdr:row>58</xdr:row>
      <xdr:rowOff>165100</xdr:rowOff>
    </xdr:to>
    <xdr:graphicFrame macro="">
      <xdr:nvGraphicFramePr>
        <xdr:cNvPr id="6" name="Graphique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325717</xdr:colOff>
      <xdr:row>59</xdr:row>
      <xdr:rowOff>107576</xdr:rowOff>
    </xdr:from>
    <xdr:to>
      <xdr:col>21</xdr:col>
      <xdr:colOff>360829</xdr:colOff>
      <xdr:row>109</xdr:row>
      <xdr:rowOff>18676</xdr:rowOff>
    </xdr:to>
    <xdr:graphicFrame macro="">
      <xdr:nvGraphicFramePr>
        <xdr:cNvPr id="21" name="Graphique 2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Garnier Antoine (HOS33418)" refreshedDate="41996.965866203704" createdVersion="4" refreshedVersion="3" minRefreshableVersion="3" recordCount="56">
  <cacheSource type="worksheet">
    <worksheetSource name="Tableau1"/>
  </cacheSource>
  <cacheFields count="11">
    <cacheField name="DATEH" numFmtId="164">
      <sharedItems containsSemiMixedTypes="0" containsNonDate="0" containsDate="1" containsString="0" minDate="2014-01-16T07:50:00" maxDate="2014-12-19T17:56:39"/>
    </cacheField>
    <cacheField name="DUREE" numFmtId="0">
      <sharedItems containsMixedTypes="1" containsNumber="1" containsInteger="1" minValue="6" maxValue="67805"/>
    </cacheField>
    <cacheField name="ID" numFmtId="0">
      <sharedItems containsSemiMixedTypes="0" containsString="0" containsNumber="1" containsInteger="1" minValue="213" maxValue="220"/>
    </cacheField>
    <cacheField name="OBSERV" numFmtId="0">
      <sharedItems containsSemiMixedTypes="0" containsString="0" containsNumber="1" containsInteger="1" minValue="1" maxValue="2"/>
    </cacheField>
    <cacheField name="ACTIVITE" numFmtId="0">
      <sharedItems count="21">
        <s v="TRANSIT"/>
        <s v="ADMIN"/>
        <s v="COLLOQUE"/>
        <s v="FO_RECUE"/>
        <s v="CONTACT"/>
        <s v="VISITE"/>
        <s v="FO_DONNE"/>
        <s v="DOSSIER"/>
        <s v="PERSONEL"/>
        <s v="SUPERVIS"/>
        <s v="ENTREE"/>
        <s v="RECHINFO"/>
        <s v="TRANSMIS"/>
        <s v="LDS"/>
        <s v="TEACHING" u="1"/>
        <s v="SOCIAL" u="1"/>
        <s v="COMMUNIC" u="1"/>
        <s v="STOP" u="1"/>
        <s v="AUTOFOR" u="1"/>
        <s v="FORMATIO" u="1"/>
        <s v="RECHERCH" u="1"/>
      </sharedItems>
    </cacheField>
    <cacheField name="LONG" numFmtId="0">
      <sharedItems/>
    </cacheField>
    <cacheField name="PT_PRENT" numFmtId="0">
      <sharedItems containsSemiMixedTypes="0" containsString="0" containsNumber="1" containsInteger="1" minValue="0" maxValue="1" count="2">
        <n v="0"/>
        <n v="1"/>
      </sharedItems>
    </cacheField>
    <cacheField name="ORDI" numFmtId="0">
      <sharedItems containsSemiMixedTypes="0" containsString="0" containsNumber="1" containsInteger="1" minValue="0" maxValue="1" count="2">
        <n v="0"/>
        <n v="1"/>
      </sharedItems>
    </cacheField>
    <cacheField name="TEL" numFmtId="0">
      <sharedItems containsSemiMixedTypes="0" containsString="0" containsNumber="1" containsInteger="1" minValue="0" maxValue="1"/>
    </cacheField>
    <cacheField name="COLLEGUE" numFmtId="0">
      <sharedItems containsSemiMixedTypes="0" containsString="0" containsNumber="1" containsInteger="1" minValue="0" maxValue="2"/>
    </cacheField>
    <cacheField name="FLAG" numFmtId="0">
      <sharedItems containsMixedTypes="1"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6">
  <r>
    <d v="2014-01-16T07:50:00"/>
    <n v="259"/>
    <n v="213"/>
    <n v="1"/>
    <x v="0"/>
    <s v="Temps de transition"/>
    <x v="0"/>
    <x v="0"/>
    <n v="0"/>
    <n v="0"/>
    <n v="0"/>
  </r>
  <r>
    <d v="2014-01-16T07:54:19"/>
    <n v="259"/>
    <n v="213"/>
    <n v="1"/>
    <x v="1"/>
    <s v="Administratif"/>
    <x v="0"/>
    <x v="1"/>
    <n v="0"/>
    <n v="0"/>
    <n v="0"/>
  </r>
  <r>
    <d v="2014-01-16T07:58:38"/>
    <n v="86"/>
    <n v="213"/>
    <n v="1"/>
    <x v="0"/>
    <s v="Temps de transition"/>
    <x v="0"/>
    <x v="0"/>
    <n v="0"/>
    <n v="0"/>
    <n v="0"/>
  </r>
  <r>
    <d v="2014-01-16T08:00:05"/>
    <n v="605"/>
    <n v="213"/>
    <n v="1"/>
    <x v="2"/>
    <s v="Colloque"/>
    <x v="0"/>
    <x v="0"/>
    <n v="0"/>
    <n v="2"/>
    <n v="0"/>
  </r>
  <r>
    <d v="2014-01-16T08:10:10"/>
    <n v="864"/>
    <n v="213"/>
    <n v="1"/>
    <x v="3"/>
    <s v="Formation"/>
    <x v="0"/>
    <x v="0"/>
    <n v="0"/>
    <n v="2"/>
    <n v="0"/>
  </r>
  <r>
    <d v="2014-01-16T08:24:34"/>
    <n v="259"/>
    <n v="213"/>
    <n v="1"/>
    <x v="4"/>
    <s v="Contact avec collègue concernant un patient"/>
    <x v="0"/>
    <x v="0"/>
    <n v="1"/>
    <n v="0"/>
    <n v="0"/>
  </r>
  <r>
    <d v="2014-01-16T08:28:53"/>
    <n v="864"/>
    <n v="213"/>
    <n v="1"/>
    <x v="3"/>
    <s v="Formation"/>
    <x v="0"/>
    <x v="0"/>
    <n v="0"/>
    <n v="2"/>
    <n v="0"/>
  </r>
  <r>
    <d v="2014-01-16T08:43:17"/>
    <n v="86"/>
    <n v="213"/>
    <n v="1"/>
    <x v="0"/>
    <s v="Temps de transition"/>
    <x v="0"/>
    <x v="0"/>
    <n v="0"/>
    <n v="2"/>
    <n v="0"/>
  </r>
  <r>
    <d v="2014-01-16T08:44:43"/>
    <n v="864"/>
    <n v="213"/>
    <n v="1"/>
    <x v="4"/>
    <s v="Contact avec collègue concernant un patient"/>
    <x v="0"/>
    <x v="0"/>
    <n v="0"/>
    <n v="2"/>
    <n v="0"/>
  </r>
  <r>
    <d v="2014-01-16T08:59:07"/>
    <n v="86"/>
    <n v="213"/>
    <n v="1"/>
    <x v="0"/>
    <s v="Temps de transition"/>
    <x v="0"/>
    <x v="0"/>
    <n v="0"/>
    <n v="2"/>
    <n v="0"/>
  </r>
  <r>
    <d v="2014-01-16T09:00:34"/>
    <n v="432"/>
    <n v="213"/>
    <n v="1"/>
    <x v="5"/>
    <s v="Viste médicale"/>
    <x v="0"/>
    <x v="1"/>
    <n v="0"/>
    <n v="1"/>
    <n v="0"/>
  </r>
  <r>
    <d v="2014-01-16T09:07:46"/>
    <n v="605"/>
    <n v="213"/>
    <n v="1"/>
    <x v="5"/>
    <s v="Viste médicale"/>
    <x v="1"/>
    <x v="1"/>
    <n v="0"/>
    <n v="1"/>
    <n v="0"/>
  </r>
  <r>
    <d v="2014-01-16T09:17:50"/>
    <n v="605"/>
    <n v="213"/>
    <n v="1"/>
    <x v="5"/>
    <s v="Viste médicale"/>
    <x v="1"/>
    <x v="0"/>
    <n v="0"/>
    <n v="1"/>
    <n v="0"/>
  </r>
  <r>
    <d v="2014-01-16T09:27:55"/>
    <n v="864"/>
    <n v="213"/>
    <n v="1"/>
    <x v="5"/>
    <s v="Viste médicale"/>
    <x v="1"/>
    <x v="0"/>
    <n v="0"/>
    <n v="0"/>
    <n v="0"/>
  </r>
  <r>
    <d v="2014-01-16T09:42:19"/>
    <n v="173"/>
    <n v="213"/>
    <n v="1"/>
    <x v="5"/>
    <s v="Viste médicale"/>
    <x v="0"/>
    <x v="1"/>
    <n v="0"/>
    <n v="1"/>
    <n v="0"/>
  </r>
  <r>
    <d v="2014-01-16T09:45:12"/>
    <n v="1728"/>
    <n v="213"/>
    <n v="1"/>
    <x v="4"/>
    <s v="Contact avec collègue concernant un patient"/>
    <x v="0"/>
    <x v="0"/>
    <n v="1"/>
    <n v="1"/>
    <n v="0"/>
  </r>
  <r>
    <d v="2014-01-16T10:14:00"/>
    <n v="432"/>
    <n v="213"/>
    <n v="1"/>
    <x v="4"/>
    <s v="Contact avec collègue concernant un patient"/>
    <x v="0"/>
    <x v="1"/>
    <n v="1"/>
    <n v="1"/>
    <n v="0"/>
  </r>
  <r>
    <d v="2014-01-16T10:21:12"/>
    <n v="864"/>
    <n v="213"/>
    <n v="1"/>
    <x v="5"/>
    <s v="Viste médicale"/>
    <x v="1"/>
    <x v="1"/>
    <n v="0"/>
    <n v="1"/>
    <n v="0"/>
  </r>
  <r>
    <d v="2014-01-16T10:35:36"/>
    <n v="173"/>
    <n v="213"/>
    <n v="1"/>
    <x v="6"/>
    <s v="Formation donnée"/>
    <x v="1"/>
    <x v="1"/>
    <n v="0"/>
    <n v="1"/>
    <n v="0"/>
  </r>
  <r>
    <d v="2014-01-16T10:38:29"/>
    <n v="864"/>
    <n v="213"/>
    <n v="1"/>
    <x v="6"/>
    <s v="Formation donnée"/>
    <x v="1"/>
    <x v="0"/>
    <n v="0"/>
    <n v="2"/>
    <n v="0"/>
  </r>
  <r>
    <d v="2014-01-16T10:52:53"/>
    <n v="605"/>
    <n v="213"/>
    <n v="1"/>
    <x v="4"/>
    <s v="Contact avec collègue concernant un patient"/>
    <x v="0"/>
    <x v="0"/>
    <n v="1"/>
    <n v="1"/>
    <n v="0"/>
  </r>
  <r>
    <d v="2014-01-16T11:02:58"/>
    <n v="605"/>
    <n v="213"/>
    <n v="1"/>
    <x v="6"/>
    <s v="Formation donnée"/>
    <x v="1"/>
    <x v="0"/>
    <n v="0"/>
    <n v="2"/>
    <n v="0"/>
  </r>
  <r>
    <d v="2014-01-16T11:13:02"/>
    <n v="259"/>
    <n v="213"/>
    <n v="1"/>
    <x v="6"/>
    <s v="Formation donnée"/>
    <x v="1"/>
    <x v="1"/>
    <n v="0"/>
    <n v="2"/>
    <n v="0"/>
  </r>
  <r>
    <d v="2014-01-16T11:17:22"/>
    <n v="864"/>
    <n v="213"/>
    <n v="1"/>
    <x v="6"/>
    <s v="Formation donnée"/>
    <x v="1"/>
    <x v="0"/>
    <n v="0"/>
    <n v="2"/>
    <n v="0"/>
  </r>
  <r>
    <d v="2014-01-16T11:31:46"/>
    <n v="86"/>
    <n v="213"/>
    <n v="1"/>
    <x v="0"/>
    <s v="Temps de transition"/>
    <x v="0"/>
    <x v="0"/>
    <n v="0"/>
    <n v="0"/>
    <n v="0"/>
  </r>
  <r>
    <d v="2014-01-16T11:33:12"/>
    <n v="1728"/>
    <n v="213"/>
    <n v="1"/>
    <x v="5"/>
    <s v="Viste médicale"/>
    <x v="1"/>
    <x v="1"/>
    <n v="0"/>
    <n v="1"/>
    <n v="0"/>
  </r>
  <r>
    <d v="2014-01-16T12:02:00"/>
    <n v="259"/>
    <n v="213"/>
    <n v="1"/>
    <x v="0"/>
    <s v="Temps de transition"/>
    <x v="0"/>
    <x v="0"/>
    <n v="0"/>
    <n v="0"/>
    <n v="0"/>
  </r>
  <r>
    <d v="2014-01-16T12:06:19"/>
    <n v="2592"/>
    <n v="213"/>
    <n v="1"/>
    <x v="7"/>
    <s v="Rédaction dans le dossier du patient"/>
    <x v="0"/>
    <x v="1"/>
    <n v="0"/>
    <n v="0"/>
    <n v="0"/>
  </r>
  <r>
    <d v="2014-01-16T12:49:31"/>
    <n v="173"/>
    <n v="213"/>
    <n v="1"/>
    <x v="0"/>
    <s v="Temps de transition"/>
    <x v="0"/>
    <x v="0"/>
    <n v="0"/>
    <n v="2"/>
    <n v="0"/>
  </r>
  <r>
    <d v="2014-01-16T12:52:24"/>
    <n v="864"/>
    <n v="213"/>
    <n v="1"/>
    <x v="8"/>
    <s v="Activités personnelles"/>
    <x v="0"/>
    <x v="0"/>
    <n v="0"/>
    <n v="2"/>
    <n v="0"/>
  </r>
  <r>
    <d v="2014-01-16T13:06:48"/>
    <n v="1728"/>
    <n v="213"/>
    <n v="2"/>
    <x v="0"/>
    <s v="Temps de transition"/>
    <x v="0"/>
    <x v="0"/>
    <n v="0"/>
    <n v="1"/>
    <n v="0"/>
  </r>
  <r>
    <d v="2014-01-16T13:35:36"/>
    <n v="259"/>
    <n v="213"/>
    <n v="2"/>
    <x v="3"/>
    <s v="Formation"/>
    <x v="0"/>
    <x v="1"/>
    <n v="0"/>
    <n v="0"/>
    <n v="0"/>
  </r>
  <r>
    <d v="2014-01-16T13:39:55"/>
    <n v="605"/>
    <n v="213"/>
    <n v="2"/>
    <x v="9"/>
    <s v="Supervision"/>
    <x v="0"/>
    <x v="1"/>
    <n v="0"/>
    <n v="1"/>
    <n v="0"/>
  </r>
  <r>
    <d v="2014-01-16T13:50:00"/>
    <n v="173"/>
    <n v="213"/>
    <n v="2"/>
    <x v="9"/>
    <s v="Supervision"/>
    <x v="0"/>
    <x v="0"/>
    <n v="0"/>
    <n v="1"/>
    <n v="0"/>
  </r>
  <r>
    <d v="2014-01-16T13:52:53"/>
    <n v="259"/>
    <n v="213"/>
    <n v="2"/>
    <x v="9"/>
    <s v="Supervision"/>
    <x v="0"/>
    <x v="1"/>
    <n v="0"/>
    <n v="1"/>
    <n v="0"/>
  </r>
  <r>
    <d v="2014-01-16T13:57:12"/>
    <n v="1296"/>
    <n v="213"/>
    <n v="2"/>
    <x v="0"/>
    <s v="Temps de transition"/>
    <x v="0"/>
    <x v="0"/>
    <n v="0"/>
    <n v="0"/>
    <n v="0"/>
  </r>
  <r>
    <d v="2014-01-16T14:18:48"/>
    <n v="259"/>
    <n v="213"/>
    <n v="2"/>
    <x v="10"/>
    <s v="Entrée médicale"/>
    <x v="0"/>
    <x v="0"/>
    <n v="0"/>
    <n v="0"/>
    <n v="0"/>
  </r>
  <r>
    <d v="2014-01-16T14:23:07"/>
    <n v="86"/>
    <n v="213"/>
    <n v="2"/>
    <x v="10"/>
    <s v="Entrée médicale"/>
    <x v="1"/>
    <x v="0"/>
    <n v="0"/>
    <n v="0"/>
    <n v="0"/>
  </r>
  <r>
    <d v="2014-01-16T14:24:34"/>
    <n v="864"/>
    <n v="213"/>
    <n v="2"/>
    <x v="8"/>
    <s v="Activités personnelles"/>
    <x v="0"/>
    <x v="0"/>
    <n v="0"/>
    <n v="0"/>
    <n v="0"/>
  </r>
  <r>
    <d v="2014-01-16T14:38:58"/>
    <n v="259"/>
    <n v="213"/>
    <n v="2"/>
    <x v="0"/>
    <s v="Temps de transition"/>
    <x v="0"/>
    <x v="0"/>
    <n v="0"/>
    <n v="0"/>
    <n v="0"/>
  </r>
  <r>
    <d v="2014-01-16T14:43:17"/>
    <n v="2592"/>
    <n v="213"/>
    <n v="2"/>
    <x v="7"/>
    <s v="Rédaction dans le dossier du patient"/>
    <x v="0"/>
    <x v="1"/>
    <n v="0"/>
    <n v="0"/>
    <n v="0"/>
  </r>
  <r>
    <d v="2014-01-16T15:26:29"/>
    <n v="1728"/>
    <n v="213"/>
    <n v="2"/>
    <x v="11"/>
    <s v="Recherche d'information"/>
    <x v="0"/>
    <x v="1"/>
    <n v="0"/>
    <n v="0"/>
    <n v="0"/>
  </r>
  <r>
    <d v="2014-01-16T15:55:17"/>
    <n v="864"/>
    <n v="213"/>
    <n v="2"/>
    <x v="7"/>
    <s v="Rédaction dans le dossier du patient"/>
    <x v="0"/>
    <x v="1"/>
    <n v="0"/>
    <n v="0"/>
    <n v="0"/>
  </r>
  <r>
    <d v="2014-01-16T16:09:41"/>
    <n v="86"/>
    <n v="213"/>
    <n v="2"/>
    <x v="2"/>
    <s v="Colloque"/>
    <x v="0"/>
    <x v="0"/>
    <n v="0"/>
    <n v="2"/>
    <n v="0"/>
  </r>
  <r>
    <d v="2014-01-16T16:11:07"/>
    <n v="1728"/>
    <n v="213"/>
    <n v="2"/>
    <x v="9"/>
    <s v="Supervision"/>
    <x v="0"/>
    <x v="1"/>
    <n v="0"/>
    <n v="1"/>
    <n v="0"/>
  </r>
  <r>
    <d v="2014-01-16T16:39:55"/>
    <n v="864"/>
    <n v="213"/>
    <n v="2"/>
    <x v="0"/>
    <s v="Temps de transition"/>
    <x v="0"/>
    <x v="0"/>
    <n v="0"/>
    <n v="0"/>
    <n v="0"/>
  </r>
  <r>
    <d v="2014-01-16T16:54:19"/>
    <n v="2592"/>
    <n v="213"/>
    <n v="2"/>
    <x v="5"/>
    <s v="Viste médicale"/>
    <x v="0"/>
    <x v="1"/>
    <n v="0"/>
    <n v="1"/>
    <n v="0"/>
  </r>
  <r>
    <d v="2014-01-16T17:37:31"/>
    <n v="1728"/>
    <n v="213"/>
    <n v="2"/>
    <x v="12"/>
    <s v="Transmission"/>
    <x v="0"/>
    <x v="1"/>
    <n v="0"/>
    <n v="0"/>
    <n v="0"/>
  </r>
  <r>
    <d v="2014-01-16T18:06:19"/>
    <n v="67805"/>
    <n v="213"/>
    <n v="2"/>
    <x v="13"/>
    <s v="Lettre de sortie"/>
    <x v="0"/>
    <x v="1"/>
    <n v="0"/>
    <n v="0"/>
    <n v="0"/>
  </r>
  <r>
    <d v="2014-12-18T12:56:24"/>
    <n v="40"/>
    <n v="220"/>
    <n v="1"/>
    <x v="0"/>
    <s v="Temps de transition"/>
    <x v="0"/>
    <x v="0"/>
    <n v="0"/>
    <n v="0"/>
    <n v="0"/>
  </r>
  <r>
    <d v="2014-12-18T12:57:04"/>
    <n v="20"/>
    <n v="220"/>
    <n v="1"/>
    <x v="5"/>
    <s v="Viste médicale"/>
    <x v="0"/>
    <x v="1"/>
    <n v="0"/>
    <n v="1"/>
    <n v="0"/>
  </r>
  <r>
    <d v="2014-12-18T12:57:24"/>
    <n v="17920"/>
    <n v="220"/>
    <n v="1"/>
    <x v="5"/>
    <s v="Viste médicale"/>
    <x v="1"/>
    <x v="0"/>
    <n v="0"/>
    <n v="1"/>
    <n v="0"/>
  </r>
  <r>
    <d v="2014-12-19T17:56:04"/>
    <n v="6"/>
    <n v="220"/>
    <n v="1"/>
    <x v="11"/>
    <s v="Recherche d'information"/>
    <x v="0"/>
    <x v="1"/>
    <n v="0"/>
    <n v="0"/>
    <n v="0"/>
  </r>
  <r>
    <d v="2014-12-19T17:56:10"/>
    <n v="24"/>
    <n v="220"/>
    <n v="1"/>
    <x v="11"/>
    <s v="Recherche d'information"/>
    <x v="0"/>
    <x v="0"/>
    <n v="0"/>
    <n v="0"/>
    <n v="0"/>
  </r>
  <r>
    <d v="2014-12-19T17:56:33"/>
    <n v="6"/>
    <n v="220"/>
    <n v="1"/>
    <x v="4"/>
    <s v="Contact avec collègue concernant un patient"/>
    <x v="0"/>
    <x v="0"/>
    <n v="1"/>
    <n v="0"/>
    <s v="NO_COM"/>
  </r>
  <r>
    <d v="2014-12-19T17:56:39"/>
    <s v="en cours"/>
    <n v="220"/>
    <n v="1"/>
    <x v="4"/>
    <s v="Contact avec collègue concernant un patient"/>
    <x v="0"/>
    <x v="0"/>
    <n v="1"/>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3" cacheId="0" applyNumberFormats="0" applyBorderFormats="0" applyFontFormats="0" applyPatternFormats="0" applyAlignmentFormats="0" applyWidthHeightFormats="1" dataCaption="Valeurs" updatedVersion="3" minRefreshableVersion="3" useAutoFormatting="1" itemPrintTitles="1" createdVersion="4" indent="0" outline="1" outlineData="1" gridDropZones="1" multipleFieldFilters="0">
  <location ref="AB22:AE38" firstHeaderRow="1" firstDataRow="2" firstDataCol="1"/>
  <pivotFields count="11">
    <pivotField numFmtId="164" showAll="0"/>
    <pivotField dataField="1" showAll="0"/>
    <pivotField showAll="0"/>
    <pivotField showAll="0"/>
    <pivotField axis="axisRow" showAll="0">
      <items count="22">
        <item x="5"/>
        <item m="1" x="14"/>
        <item x="10"/>
        <item x="1"/>
        <item m="1" x="18"/>
        <item x="2"/>
        <item m="1" x="16"/>
        <item x="7"/>
        <item m="1" x="19"/>
        <item x="13"/>
        <item x="8"/>
        <item m="1" x="20"/>
        <item m="1" x="15"/>
        <item m="1" x="17"/>
        <item x="9"/>
        <item x="0"/>
        <item x="12"/>
        <item x="3"/>
        <item x="4"/>
        <item x="6"/>
        <item x="11"/>
        <item t="default"/>
      </items>
    </pivotField>
    <pivotField showAll="0" defaultSubtotal="0"/>
    <pivotField axis="axisCol" showAll="0">
      <items count="3">
        <item x="0"/>
        <item x="1"/>
        <item t="default"/>
      </items>
    </pivotField>
    <pivotField showAll="0"/>
    <pivotField showAll="0"/>
    <pivotField showAll="0"/>
    <pivotField showAll="0" defaultSubtotal="0"/>
  </pivotFields>
  <rowFields count="1">
    <field x="4"/>
  </rowFields>
  <rowItems count="15">
    <i>
      <x/>
    </i>
    <i>
      <x v="2"/>
    </i>
    <i>
      <x v="3"/>
    </i>
    <i>
      <x v="5"/>
    </i>
    <i>
      <x v="7"/>
    </i>
    <i>
      <x v="9"/>
    </i>
    <i>
      <x v="10"/>
    </i>
    <i>
      <x v="14"/>
    </i>
    <i>
      <x v="15"/>
    </i>
    <i>
      <x v="16"/>
    </i>
    <i>
      <x v="17"/>
    </i>
    <i>
      <x v="18"/>
    </i>
    <i>
      <x v="19"/>
    </i>
    <i>
      <x v="20"/>
    </i>
    <i t="grand">
      <x/>
    </i>
  </rowItems>
  <colFields count="1">
    <field x="6"/>
  </colFields>
  <colItems count="3">
    <i>
      <x/>
    </i>
    <i>
      <x v="1"/>
    </i>
    <i t="grand">
      <x/>
    </i>
  </colItems>
  <dataFields count="1">
    <dataField name="Somme sur DUREE"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Tableau croisé dynamique1" cacheId="0" applyNumberFormats="0" applyBorderFormats="0" applyFontFormats="0" applyPatternFormats="0" applyAlignmentFormats="0" applyWidthHeightFormats="1" dataCaption="Valeurs" updatedVersion="3" minRefreshableVersion="3" useAutoFormatting="1" itemPrintTitles="1" createdVersion="4" indent="0" outline="1" outlineData="1" gridDropZones="1" multipleFieldFilters="0">
  <location ref="O21:P37" firstHeaderRow="2" firstDataRow="2" firstDataCol="1"/>
  <pivotFields count="11">
    <pivotField numFmtId="164" showAll="0"/>
    <pivotField dataField="1" showAll="0"/>
    <pivotField showAll="0"/>
    <pivotField showAll="0"/>
    <pivotField axis="axisRow" showAll="0">
      <items count="22">
        <item x="5"/>
        <item x="7"/>
        <item m="1" x="15"/>
        <item x="9"/>
        <item m="1" x="14"/>
        <item x="13"/>
        <item x="2"/>
        <item x="0"/>
        <item m="1" x="19"/>
        <item x="10"/>
        <item m="1" x="18"/>
        <item m="1" x="16"/>
        <item x="12"/>
        <item x="1"/>
        <item x="8"/>
        <item m="1" x="20"/>
        <item m="1" x="17"/>
        <item x="3"/>
        <item x="4"/>
        <item x="6"/>
        <item x="11"/>
        <item t="default"/>
      </items>
    </pivotField>
    <pivotField showAll="0" defaultSubtotal="0"/>
    <pivotField showAll="0"/>
    <pivotField showAll="0"/>
    <pivotField showAll="0"/>
    <pivotField showAll="0"/>
    <pivotField showAll="0" defaultSubtotal="0"/>
  </pivotFields>
  <rowFields count="1">
    <field x="4"/>
  </rowFields>
  <rowItems count="15">
    <i>
      <x/>
    </i>
    <i>
      <x v="1"/>
    </i>
    <i>
      <x v="3"/>
    </i>
    <i>
      <x v="5"/>
    </i>
    <i>
      <x v="6"/>
    </i>
    <i>
      <x v="7"/>
    </i>
    <i>
      <x v="9"/>
    </i>
    <i>
      <x v="12"/>
    </i>
    <i>
      <x v="13"/>
    </i>
    <i>
      <x v="14"/>
    </i>
    <i>
      <x v="17"/>
    </i>
    <i>
      <x v="18"/>
    </i>
    <i>
      <x v="19"/>
    </i>
    <i>
      <x v="20"/>
    </i>
    <i t="grand">
      <x/>
    </i>
  </rowItems>
  <colItems count="1">
    <i/>
  </colItems>
  <dataFields count="1">
    <dataField name="Somme sur DUREE"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ableau croisé dynamique4" cacheId="0" applyNumberFormats="0" applyBorderFormats="0" applyFontFormats="0" applyPatternFormats="0" applyAlignmentFormats="0" applyWidthHeightFormats="1" dataCaption="Valeurs" updatedVersion="3" minRefreshableVersion="3" useAutoFormatting="1" itemPrintTitles="1" createdVersion="4" indent="0" outline="1" outlineData="1" gridDropZones="1" multipleFieldFilters="0">
  <location ref="O61:P65" firstHeaderRow="2" firstDataRow="2" firstDataCol="1"/>
  <pivotFields count="11">
    <pivotField numFmtId="164" showAll="0"/>
    <pivotField dataField="1" showAll="0"/>
    <pivotField showAll="0"/>
    <pivotField showAll="0"/>
    <pivotField showAll="0"/>
    <pivotField showAll="0" defaultSubtotal="0"/>
    <pivotField axis="axisRow" showAll="0">
      <items count="3">
        <item x="0"/>
        <item x="1"/>
        <item t="default"/>
      </items>
    </pivotField>
    <pivotField showAll="0"/>
    <pivotField showAll="0"/>
    <pivotField showAll="0"/>
    <pivotField showAll="0" defaultSubtotal="0"/>
  </pivotFields>
  <rowFields count="1">
    <field x="6"/>
  </rowFields>
  <rowItems count="3">
    <i>
      <x/>
    </i>
    <i>
      <x v="1"/>
    </i>
    <i t="grand">
      <x/>
    </i>
  </rowItems>
  <colItems count="1">
    <i/>
  </colItems>
  <dataFields count="1">
    <dataField name="Somme sur DUREE"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3" minRefreshableVersion="3" useAutoFormatting="1" itemPrintTitles="1" createdVersion="4" indent="0" outline="1" outlineData="1" gridDropZones="1" multipleFieldFilters="0">
  <location ref="O42:P46" firstHeaderRow="2" firstDataRow="2" firstDataCol="1"/>
  <pivotFields count="11">
    <pivotField numFmtId="164" showAll="0"/>
    <pivotField dataField="1" showAll="0"/>
    <pivotField showAll="0"/>
    <pivotField showAll="0"/>
    <pivotField showAll="0"/>
    <pivotField showAll="0" defaultSubtotal="0"/>
    <pivotField showAll="0"/>
    <pivotField axis="axisRow" showAll="0">
      <items count="3">
        <item x="0"/>
        <item x="1"/>
        <item t="default"/>
      </items>
    </pivotField>
    <pivotField showAll="0"/>
    <pivotField showAll="0"/>
    <pivotField showAll="0" defaultSubtotal="0"/>
  </pivotFields>
  <rowFields count="1">
    <field x="7"/>
  </rowFields>
  <rowItems count="3">
    <i>
      <x/>
    </i>
    <i>
      <x v="1"/>
    </i>
    <i t="grand">
      <x/>
    </i>
  </rowItems>
  <colItems count="1">
    <i/>
  </colItems>
  <dataFields count="1">
    <dataField name="Somme sur DUREE"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2" name="Tableau2" displayName="Tableau2" ref="B11:I72" totalsRowShown="0" headerRowDxfId="39" dataDxfId="37" headerRowBorderDxfId="38" tableBorderDxfId="36" totalsRowBorderDxfId="35">
  <tableColumns count="8">
    <tableColumn id="1" name="No" dataDxfId="34"/>
    <tableColumn id="2" name="Label" dataDxfId="33"/>
    <tableColumn id="3" name="Nom" dataDxfId="32"/>
    <tableColumn id="4" name="Description" dataDxfId="31"/>
    <tableColumn id="5" name="Groupe" dataDxfId="30"/>
    <tableColumn id="10" name="Type" dataDxfId="29"/>
    <tableColumn id="6" name="Validation par" dataDxfId="28"/>
    <tableColumn id="7" name="Commentaire" dataDxfId="27"/>
  </tableColumns>
  <tableStyleInfo name="TableStyleLight9 2" showFirstColumn="0" showLastColumn="0" showRowStripes="1" showColumnStripes="0"/>
</table>
</file>

<file path=xl/tables/table2.xml><?xml version="1.0" encoding="utf-8"?>
<table xmlns="http://schemas.openxmlformats.org/spreadsheetml/2006/main" id="1" name="Tableau1" displayName="Tableau1" ref="B20:L76" totalsRowShown="0" headerRowDxfId="26" headerRowBorderDxfId="25">
  <autoFilter ref="B20:L76">
    <filterColumn colId="10"/>
  </autoFilter>
  <tableColumns count="11">
    <tableColumn id="1" name="DATEH" dataDxfId="24"/>
    <tableColumn id="9" name="DUREE" dataDxfId="23"/>
    <tableColumn id="2" name="ID" dataDxfId="22"/>
    <tableColumn id="3" name="OBSERV" dataDxfId="21"/>
    <tableColumn id="4" name="ACTIVITE"/>
    <tableColumn id="10" name="LONG" dataDxfId="20">
      <calculatedColumnFormula>VLOOKUP(Tableau1[[#This Row],[ACTIVITE]],Codebook!$C$41:$D$67,2,FALSE)</calculatedColumnFormula>
    </tableColumn>
    <tableColumn id="5" name="PT_PRENT" dataDxfId="19"/>
    <tableColumn id="6" name="ORDI" dataDxfId="18"/>
    <tableColumn id="7" name="TEL" dataDxfId="17"/>
    <tableColumn id="8" name="COLLEGUE" dataDxfId="16"/>
    <tableColumn id="11" name="FLAG" dataDxfId="15"/>
  </tableColumns>
  <tableStyleInfo name="TableStyleLight9 2" showFirstColumn="0" showLastColumn="0" showRowStripes="1" showColumnStripes="0"/>
</table>
</file>

<file path=xl/tables/table3.xml><?xml version="1.0" encoding="utf-8"?>
<table xmlns="http://schemas.openxmlformats.org/spreadsheetml/2006/main" id="3" name="Tableau14" displayName="Tableau14" ref="B20:L44" totalsRowShown="0" headerRowDxfId="14" headerRowBorderDxfId="13">
  <autoFilter ref="B20:L44">
    <filterColumn colId="10"/>
  </autoFilter>
  <tableColumns count="11">
    <tableColumn id="1" name="DATEH" dataDxfId="12"/>
    <tableColumn id="9" name="DUREE" dataDxfId="11"/>
    <tableColumn id="2" name="ID" dataDxfId="10"/>
    <tableColumn id="3" name="OBSERV" dataDxfId="9"/>
    <tableColumn id="4" name="ACTIVITE"/>
    <tableColumn id="10" name="LONG" dataDxfId="8"/>
    <tableColumn id="5" name="PT_PRENT" dataDxfId="7"/>
    <tableColumn id="6" name="ORDI" dataDxfId="6"/>
    <tableColumn id="7" name="TEL" dataDxfId="5"/>
    <tableColumn id="8" name="COLLEGUE" dataDxfId="4"/>
    <tableColumn id="11" name="FLAG" dataDxfId="3"/>
  </tableColumns>
  <tableStyleInfo name="TableStyleLight9 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13" Type="http://schemas.openxmlformats.org/officeDocument/2006/relationships/ctrlProp" Target="../ctrlProps/ctrlProp7.xml"/><Relationship Id="rId18" Type="http://schemas.openxmlformats.org/officeDocument/2006/relationships/ctrlProp" Target="../ctrlProps/ctrlProp12.xml"/><Relationship Id="rId3" Type="http://schemas.openxmlformats.org/officeDocument/2006/relationships/pivotTable" Target="../pivotTables/pivotTable3.xml"/><Relationship Id="rId21" Type="http://schemas.openxmlformats.org/officeDocument/2006/relationships/ctrlProp" Target="../ctrlProps/ctrlProp15.xml"/><Relationship Id="rId7" Type="http://schemas.openxmlformats.org/officeDocument/2006/relationships/vmlDrawing" Target="../drawings/vmlDrawing1.vml"/><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6.xml"/><Relationship Id="rId2" Type="http://schemas.openxmlformats.org/officeDocument/2006/relationships/pivotTable" Target="../pivotTables/pivotTable2.xml"/><Relationship Id="rId20" Type="http://schemas.openxmlformats.org/officeDocument/2006/relationships/ctrlProp" Target="../ctrlProps/ctrlProp14.xml"/><Relationship Id="rId16" Type="http://schemas.openxmlformats.org/officeDocument/2006/relationships/ctrlProp" Target="../ctrlProps/ctrlProp10.xml"/><Relationship Id="rId1" Type="http://schemas.openxmlformats.org/officeDocument/2006/relationships/pivotTable" Target="../pivotTables/pivotTable1.xml"/><Relationship Id="rId6" Type="http://schemas.openxmlformats.org/officeDocument/2006/relationships/drawing" Target="../drawings/drawing2.xml"/><Relationship Id="rId11" Type="http://schemas.openxmlformats.org/officeDocument/2006/relationships/ctrlProp" Target="../ctrlProps/ctrlProp5.xml"/><Relationship Id="rId24" Type="http://schemas.openxmlformats.org/officeDocument/2006/relationships/ctrlProp" Target="../ctrlProps/ctrlProp13.xml"/><Relationship Id="rId5" Type="http://schemas.openxmlformats.org/officeDocument/2006/relationships/printerSettings" Target="../printerSettings/printerSettings2.bin"/><Relationship Id="rId23" Type="http://schemas.openxmlformats.org/officeDocument/2006/relationships/ctrlProp" Target="../ctrlProps/ctrlProp17.xml"/><Relationship Id="rId15" Type="http://schemas.openxmlformats.org/officeDocument/2006/relationships/ctrlProp" Target="../ctrlProps/ctrlProp9.xml"/><Relationship Id="rId19" Type="http://schemas.openxmlformats.org/officeDocument/2006/relationships/ctrlProp" Target="../ctrlProps/ctrlProp2.xml"/><Relationship Id="rId10" Type="http://schemas.openxmlformats.org/officeDocument/2006/relationships/ctrlProp" Target="../ctrlProps/ctrlProp4.xml"/><Relationship Id="rId4" Type="http://schemas.openxmlformats.org/officeDocument/2006/relationships/pivotTable" Target="../pivotTables/pivotTable4.xml"/><Relationship Id="rId22" Type="http://schemas.openxmlformats.org/officeDocument/2006/relationships/ctrlProp" Target="../ctrlProps/ctrlProp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Feuil1" enableFormatConditionsCalculation="0"/>
  <dimension ref="B5:I74"/>
  <sheetViews>
    <sheetView showGridLines="0" tabSelected="1" topLeftCell="A64" zoomScale="85" zoomScaleNormal="85" zoomScalePageLayoutView="70" workbookViewId="0">
      <selection activeCell="C31" sqref="C31:C38"/>
    </sheetView>
  </sheetViews>
  <sheetFormatPr baseColWidth="10" defaultColWidth="10.75" defaultRowHeight="14.25"/>
  <cols>
    <col min="1" max="1" width="9.75" style="8" customWidth="1"/>
    <col min="2" max="2" width="4.125" style="1" customWidth="1"/>
    <col min="3" max="3" width="11.125" style="1" bestFit="1" customWidth="1"/>
    <col min="4" max="4" width="26.625" style="6" bestFit="1" customWidth="1"/>
    <col min="5" max="5" width="53" style="5" customWidth="1"/>
    <col min="6" max="6" width="14.375" bestFit="1" customWidth="1"/>
    <col min="7" max="7" width="19.25" bestFit="1" customWidth="1"/>
    <col min="8" max="8" width="13.5" style="1" bestFit="1" customWidth="1"/>
    <col min="9" max="9" width="27.125" style="6" customWidth="1"/>
    <col min="10" max="10" width="11.625" style="8" bestFit="1" customWidth="1"/>
    <col min="11" max="16384" width="10.75" style="8"/>
  </cols>
  <sheetData>
    <row r="5" spans="2:9">
      <c r="B5" s="2" t="str">
        <f ca="1">"Lausanne, le "&amp;TEXT(TODAY(),"jj.mm.aaaa")</f>
        <v>Lausanne, le 10.04.2015</v>
      </c>
    </row>
    <row r="7" spans="2:9">
      <c r="B7" s="1" t="s">
        <v>0</v>
      </c>
    </row>
    <row r="9" spans="2:9" s="9" customFormat="1" ht="15.75">
      <c r="B9" s="4" t="s">
        <v>1</v>
      </c>
      <c r="C9" s="3"/>
      <c r="D9" s="7"/>
      <c r="E9" s="5"/>
      <c r="F9"/>
      <c r="G9"/>
      <c r="H9" s="3"/>
      <c r="I9" s="7"/>
    </row>
    <row r="11" spans="2:9" s="10" customFormat="1" ht="18.75">
      <c r="B11" s="83" t="s">
        <v>2</v>
      </c>
      <c r="C11" s="83" t="s">
        <v>4</v>
      </c>
      <c r="D11" s="84" t="s">
        <v>3</v>
      </c>
      <c r="E11" s="84" t="s">
        <v>5</v>
      </c>
      <c r="F11" s="83" t="s">
        <v>13</v>
      </c>
      <c r="G11" s="83" t="s">
        <v>6</v>
      </c>
      <c r="H11" s="83" t="s">
        <v>7</v>
      </c>
      <c r="I11" s="84" t="s">
        <v>8</v>
      </c>
    </row>
    <row r="12" spans="2:9" s="11" customFormat="1">
      <c r="B12" s="38" t="s">
        <v>111</v>
      </c>
      <c r="C12" s="38"/>
      <c r="D12" s="39"/>
      <c r="E12" s="39"/>
      <c r="F12" s="38"/>
      <c r="G12" s="38"/>
      <c r="H12" s="38"/>
      <c r="I12" s="39"/>
    </row>
    <row r="13" spans="2:9" s="12" customFormat="1">
      <c r="B13" s="27">
        <v>10</v>
      </c>
      <c r="C13" s="27" t="s">
        <v>10</v>
      </c>
      <c r="D13" s="26" t="s">
        <v>11</v>
      </c>
      <c r="E13" s="26" t="s">
        <v>12</v>
      </c>
      <c r="F13" s="27" t="s">
        <v>15</v>
      </c>
      <c r="G13" s="27" t="s">
        <v>14</v>
      </c>
      <c r="H13" s="27"/>
      <c r="I13" s="26"/>
    </row>
    <row r="14" spans="2:9" s="12" customFormat="1">
      <c r="B14" s="27">
        <v>11</v>
      </c>
      <c r="C14" s="27" t="s">
        <v>105</v>
      </c>
      <c r="D14" s="26" t="s">
        <v>104</v>
      </c>
      <c r="E14" s="26" t="s">
        <v>106</v>
      </c>
      <c r="F14" s="27" t="s">
        <v>15</v>
      </c>
      <c r="G14" s="27" t="s">
        <v>14</v>
      </c>
      <c r="H14" s="27"/>
      <c r="I14" s="26"/>
    </row>
    <row r="15" spans="2:9" s="12" customFormat="1">
      <c r="B15" s="34" t="s">
        <v>223</v>
      </c>
      <c r="C15" s="34"/>
      <c r="D15" s="35"/>
      <c r="E15" s="35"/>
      <c r="F15" s="34"/>
      <c r="G15" s="34"/>
      <c r="H15" s="34"/>
      <c r="I15" s="35"/>
    </row>
    <row r="16" spans="2:9">
      <c r="B16" s="36">
        <v>100</v>
      </c>
      <c r="C16" s="36" t="s">
        <v>16</v>
      </c>
      <c r="D16" s="37" t="s">
        <v>3</v>
      </c>
      <c r="E16" s="37" t="s">
        <v>17</v>
      </c>
      <c r="F16" s="36" t="s">
        <v>15</v>
      </c>
      <c r="G16" s="36" t="s">
        <v>18</v>
      </c>
      <c r="H16" s="36"/>
      <c r="I16" s="37"/>
    </row>
    <row r="17" spans="2:9" s="11" customFormat="1">
      <c r="B17" s="36">
        <v>101</v>
      </c>
      <c r="C17" s="36" t="s">
        <v>19</v>
      </c>
      <c r="D17" s="37" t="s">
        <v>20</v>
      </c>
      <c r="E17" s="37" t="s">
        <v>21</v>
      </c>
      <c r="F17" s="36" t="s">
        <v>22</v>
      </c>
      <c r="G17" s="36" t="s">
        <v>23</v>
      </c>
      <c r="H17" s="36"/>
      <c r="I17" s="37"/>
    </row>
    <row r="18" spans="2:9" s="12" customFormat="1">
      <c r="B18" s="36">
        <v>102</v>
      </c>
      <c r="C18" s="36" t="s">
        <v>152</v>
      </c>
      <c r="D18" s="37" t="s">
        <v>153</v>
      </c>
      <c r="E18" s="37" t="s">
        <v>154</v>
      </c>
      <c r="F18" s="36" t="s">
        <v>22</v>
      </c>
      <c r="G18" s="36" t="s">
        <v>121</v>
      </c>
      <c r="H18" s="36"/>
      <c r="I18" s="37" t="s">
        <v>155</v>
      </c>
    </row>
    <row r="19" spans="2:9" s="12" customFormat="1">
      <c r="B19" s="36">
        <v>103</v>
      </c>
      <c r="C19" s="36" t="s">
        <v>24</v>
      </c>
      <c r="D19" s="37" t="s">
        <v>25</v>
      </c>
      <c r="E19" s="37" t="s">
        <v>26</v>
      </c>
      <c r="F19" s="36" t="s">
        <v>22</v>
      </c>
      <c r="G19" s="36" t="s">
        <v>36</v>
      </c>
      <c r="H19" s="36"/>
      <c r="I19" s="37"/>
    </row>
    <row r="20" spans="2:9" s="12" customFormat="1" ht="28.5">
      <c r="B20" s="36">
        <v>104</v>
      </c>
      <c r="C20" s="36" t="s">
        <v>28</v>
      </c>
      <c r="D20" s="37" t="s">
        <v>27</v>
      </c>
      <c r="E20" s="37" t="s">
        <v>29</v>
      </c>
      <c r="F20" s="36" t="s">
        <v>22</v>
      </c>
      <c r="G20" s="36" t="s">
        <v>30</v>
      </c>
      <c r="H20" s="36"/>
      <c r="I20" s="37" t="s">
        <v>31</v>
      </c>
    </row>
    <row r="21" spans="2:9" s="12" customFormat="1">
      <c r="B21" s="36">
        <v>105</v>
      </c>
      <c r="C21" s="36" t="s">
        <v>32</v>
      </c>
      <c r="D21" s="37" t="s">
        <v>33</v>
      </c>
      <c r="E21" s="37" t="s">
        <v>34</v>
      </c>
      <c r="F21" s="36" t="s">
        <v>22</v>
      </c>
      <c r="G21" s="36" t="s">
        <v>35</v>
      </c>
      <c r="H21" s="36"/>
      <c r="I21" s="37"/>
    </row>
    <row r="22" spans="2:9" s="12" customFormat="1">
      <c r="B22" s="36">
        <v>106</v>
      </c>
      <c r="C22" s="36" t="s">
        <v>38</v>
      </c>
      <c r="D22" s="37" t="s">
        <v>39</v>
      </c>
      <c r="E22" s="37" t="s">
        <v>40</v>
      </c>
      <c r="F22" s="36" t="s">
        <v>22</v>
      </c>
      <c r="G22" s="36" t="s">
        <v>18</v>
      </c>
      <c r="H22" s="36"/>
      <c r="I22" s="37"/>
    </row>
    <row r="23" spans="2:9" s="12" customFormat="1" ht="28.5">
      <c r="B23" s="36">
        <v>107</v>
      </c>
      <c r="C23" s="36" t="s">
        <v>37</v>
      </c>
      <c r="D23" s="37" t="s">
        <v>66</v>
      </c>
      <c r="E23" s="37" t="s">
        <v>67</v>
      </c>
      <c r="F23" s="36" t="s">
        <v>22</v>
      </c>
      <c r="G23" s="36" t="s">
        <v>68</v>
      </c>
      <c r="H23" s="36"/>
      <c r="I23" s="37" t="s">
        <v>69</v>
      </c>
    </row>
    <row r="24" spans="2:9" s="12" customFormat="1">
      <c r="B24" s="36">
        <v>109</v>
      </c>
      <c r="C24" s="36" t="s">
        <v>63</v>
      </c>
      <c r="D24" s="37" t="s">
        <v>64</v>
      </c>
      <c r="E24" s="37" t="s">
        <v>65</v>
      </c>
      <c r="F24" s="36" t="s">
        <v>22</v>
      </c>
      <c r="G24" s="36" t="s">
        <v>52</v>
      </c>
      <c r="H24" s="36"/>
      <c r="I24" s="37" t="s">
        <v>222</v>
      </c>
    </row>
    <row r="25" spans="2:9" s="12" customFormat="1" ht="28.5">
      <c r="B25" s="36">
        <v>114</v>
      </c>
      <c r="C25" s="36" t="s">
        <v>61</v>
      </c>
      <c r="D25" s="37" t="s">
        <v>62</v>
      </c>
      <c r="E25" s="37" t="s">
        <v>43</v>
      </c>
      <c r="F25" s="36" t="s">
        <v>44</v>
      </c>
      <c r="G25" s="36" t="s">
        <v>46</v>
      </c>
      <c r="H25" s="36"/>
      <c r="I25" s="37" t="s">
        <v>42</v>
      </c>
    </row>
    <row r="26" spans="2:9" s="12" customFormat="1">
      <c r="B26" s="36">
        <v>115</v>
      </c>
      <c r="C26" s="36" t="s">
        <v>59</v>
      </c>
      <c r="D26" s="37" t="s">
        <v>60</v>
      </c>
      <c r="E26" s="37" t="s">
        <v>45</v>
      </c>
      <c r="F26" s="36" t="s">
        <v>44</v>
      </c>
      <c r="G26" s="36" t="s">
        <v>46</v>
      </c>
      <c r="H26" s="36"/>
      <c r="I26" s="37"/>
    </row>
    <row r="27" spans="2:9" s="12" customFormat="1" ht="42.75">
      <c r="B27" s="36">
        <v>116</v>
      </c>
      <c r="C27" s="36" t="s">
        <v>57</v>
      </c>
      <c r="D27" s="37" t="s">
        <v>58</v>
      </c>
      <c r="E27" s="37" t="s">
        <v>47</v>
      </c>
      <c r="F27" s="36" t="s">
        <v>44</v>
      </c>
      <c r="G27" s="36" t="s">
        <v>48</v>
      </c>
      <c r="H27" s="36"/>
      <c r="I27" s="37" t="s">
        <v>49</v>
      </c>
    </row>
    <row r="28" spans="2:9" s="12" customFormat="1">
      <c r="B28" s="36">
        <v>117</v>
      </c>
      <c r="C28" s="36" t="s">
        <v>72</v>
      </c>
      <c r="D28" s="37" t="s">
        <v>55</v>
      </c>
      <c r="E28" s="37" t="s">
        <v>50</v>
      </c>
      <c r="F28" s="36" t="s">
        <v>44</v>
      </c>
      <c r="G28" s="36" t="s">
        <v>30</v>
      </c>
      <c r="H28" s="36"/>
      <c r="I28" s="37"/>
    </row>
    <row r="29" spans="2:9" s="12" customFormat="1">
      <c r="B29" s="36">
        <v>118</v>
      </c>
      <c r="C29" s="36" t="s">
        <v>73</v>
      </c>
      <c r="D29" s="37" t="s">
        <v>56</v>
      </c>
      <c r="E29" s="37" t="s">
        <v>51</v>
      </c>
      <c r="F29" s="36" t="s">
        <v>44</v>
      </c>
      <c r="G29" s="36" t="s">
        <v>30</v>
      </c>
      <c r="H29" s="36"/>
      <c r="I29" s="37"/>
    </row>
    <row r="30" spans="2:9" s="12" customFormat="1">
      <c r="B30" s="30" t="s">
        <v>79</v>
      </c>
      <c r="C30" s="30"/>
      <c r="D30" s="31"/>
      <c r="E30" s="31"/>
      <c r="F30" s="30"/>
      <c r="G30" s="30"/>
      <c r="H30" s="30"/>
      <c r="I30" s="31"/>
    </row>
    <row r="31" spans="2:9" s="12" customFormat="1">
      <c r="B31" s="27">
        <v>50</v>
      </c>
      <c r="C31" s="27" t="s">
        <v>107</v>
      </c>
      <c r="D31" s="26" t="s">
        <v>109</v>
      </c>
      <c r="E31" s="26" t="s">
        <v>108</v>
      </c>
      <c r="F31" s="27" t="s">
        <v>185</v>
      </c>
      <c r="G31" s="27" t="s">
        <v>110</v>
      </c>
      <c r="H31" s="27"/>
      <c r="I31" s="26" t="s">
        <v>151</v>
      </c>
    </row>
    <row r="32" spans="2:9" s="11" customFormat="1">
      <c r="B32" s="27">
        <v>51</v>
      </c>
      <c r="C32" s="27" t="s">
        <v>122</v>
      </c>
      <c r="D32" s="26" t="s">
        <v>112</v>
      </c>
      <c r="E32" s="26" t="s">
        <v>115</v>
      </c>
      <c r="F32" s="27" t="s">
        <v>185</v>
      </c>
      <c r="G32" s="27" t="s">
        <v>116</v>
      </c>
      <c r="H32" s="32"/>
      <c r="I32" s="33" t="s">
        <v>144</v>
      </c>
    </row>
    <row r="33" spans="2:9" s="12" customFormat="1">
      <c r="B33" s="40">
        <v>52</v>
      </c>
      <c r="C33" s="40" t="s">
        <v>80</v>
      </c>
      <c r="D33" s="41" t="s">
        <v>81</v>
      </c>
      <c r="E33" s="41" t="s">
        <v>82</v>
      </c>
      <c r="F33" s="27" t="s">
        <v>185</v>
      </c>
      <c r="G33" s="40" t="s">
        <v>114</v>
      </c>
      <c r="H33" s="40"/>
      <c r="I33" s="41"/>
    </row>
    <row r="34" spans="2:9" s="12" customFormat="1" ht="28.5">
      <c r="B34" s="40">
        <v>61</v>
      </c>
      <c r="C34" s="40" t="s">
        <v>75</v>
      </c>
      <c r="D34" s="41" t="s">
        <v>76</v>
      </c>
      <c r="E34" s="41" t="s">
        <v>77</v>
      </c>
      <c r="F34" s="27" t="s">
        <v>185</v>
      </c>
      <c r="G34" s="40" t="s">
        <v>121</v>
      </c>
      <c r="H34" s="40"/>
      <c r="I34" s="41" t="s">
        <v>138</v>
      </c>
    </row>
    <row r="35" spans="2:9" s="12" customFormat="1">
      <c r="B35" s="40">
        <v>62</v>
      </c>
      <c r="C35" s="40" t="s">
        <v>83</v>
      </c>
      <c r="D35" s="41" t="s">
        <v>87</v>
      </c>
      <c r="E35" s="41" t="s">
        <v>78</v>
      </c>
      <c r="F35" s="27" t="s">
        <v>185</v>
      </c>
      <c r="G35" s="40" t="s">
        <v>121</v>
      </c>
      <c r="H35" s="40"/>
      <c r="I35" s="41" t="s">
        <v>139</v>
      </c>
    </row>
    <row r="36" spans="2:9" s="12" customFormat="1">
      <c r="B36" s="40">
        <v>63</v>
      </c>
      <c r="C36" s="40" t="s">
        <v>84</v>
      </c>
      <c r="D36" s="41" t="s">
        <v>88</v>
      </c>
      <c r="E36" s="41" t="s">
        <v>85</v>
      </c>
      <c r="F36" s="27" t="s">
        <v>185</v>
      </c>
      <c r="G36" s="40" t="s">
        <v>121</v>
      </c>
      <c r="H36" s="40"/>
      <c r="I36" s="41" t="s">
        <v>140</v>
      </c>
    </row>
    <row r="37" spans="2:9" s="12" customFormat="1" ht="28.5">
      <c r="B37" s="40">
        <v>64</v>
      </c>
      <c r="C37" s="40" t="s">
        <v>215</v>
      </c>
      <c r="D37" s="41" t="s">
        <v>214</v>
      </c>
      <c r="E37" s="41" t="s">
        <v>220</v>
      </c>
      <c r="F37" s="27" t="s">
        <v>185</v>
      </c>
      <c r="G37" s="40" t="s">
        <v>68</v>
      </c>
      <c r="H37" s="40"/>
      <c r="I37" s="41" t="s">
        <v>216</v>
      </c>
    </row>
    <row r="38" spans="2:9" s="12" customFormat="1">
      <c r="B38" s="40">
        <v>65</v>
      </c>
      <c r="C38" s="40" t="s">
        <v>159</v>
      </c>
      <c r="D38" s="41" t="s">
        <v>160</v>
      </c>
      <c r="E38" s="41" t="s">
        <v>161</v>
      </c>
      <c r="F38" s="27" t="s">
        <v>185</v>
      </c>
      <c r="G38" s="40" t="s">
        <v>181</v>
      </c>
      <c r="H38" s="40"/>
      <c r="I38" s="41" t="s">
        <v>182</v>
      </c>
    </row>
    <row r="39" spans="2:9" s="11" customFormat="1">
      <c r="B39" s="30" t="s">
        <v>184</v>
      </c>
      <c r="C39" s="30"/>
      <c r="D39" s="31"/>
      <c r="E39" s="31"/>
      <c r="F39" s="30"/>
      <c r="G39" s="30"/>
      <c r="H39" s="30"/>
      <c r="I39" s="31"/>
    </row>
    <row r="40" spans="2:9" s="11" customFormat="1">
      <c r="B40" s="78"/>
      <c r="C40" s="79"/>
      <c r="D40" s="80" t="str">
        <f>F41</f>
        <v>directement lié</v>
      </c>
      <c r="E40" s="81"/>
      <c r="F40" s="79"/>
      <c r="G40" s="79"/>
      <c r="H40" s="79"/>
      <c r="I40" s="82"/>
    </row>
    <row r="41" spans="2:9" s="12" customFormat="1" ht="71.25">
      <c r="B41" s="40">
        <v>201</v>
      </c>
      <c r="C41" s="40" t="s">
        <v>53</v>
      </c>
      <c r="D41" s="41" t="s">
        <v>71</v>
      </c>
      <c r="E41" s="41" t="s">
        <v>188</v>
      </c>
      <c r="F41" s="40" t="s">
        <v>133</v>
      </c>
      <c r="G41" s="40" t="s">
        <v>70</v>
      </c>
      <c r="H41" s="40"/>
      <c r="I41" s="41"/>
    </row>
    <row r="42" spans="2:9" s="12" customFormat="1" ht="85.5">
      <c r="B42" s="40">
        <v>202</v>
      </c>
      <c r="C42" s="40" t="s">
        <v>74</v>
      </c>
      <c r="D42" s="41" t="s">
        <v>126</v>
      </c>
      <c r="E42" s="41" t="s">
        <v>189</v>
      </c>
      <c r="F42" s="40" t="s">
        <v>133</v>
      </c>
      <c r="G42" s="40" t="s">
        <v>70</v>
      </c>
      <c r="H42" s="40"/>
      <c r="I42" s="41" t="s">
        <v>186</v>
      </c>
    </row>
    <row r="43" spans="2:9" s="12" customFormat="1" ht="42.75">
      <c r="B43" s="40">
        <v>203</v>
      </c>
      <c r="C43" s="40" t="s">
        <v>54</v>
      </c>
      <c r="D43" s="41" t="s">
        <v>92</v>
      </c>
      <c r="E43" s="41" t="s">
        <v>187</v>
      </c>
      <c r="F43" s="40" t="s">
        <v>133</v>
      </c>
      <c r="G43" s="40" t="s">
        <v>70</v>
      </c>
      <c r="H43" s="40"/>
      <c r="I43" s="41"/>
    </row>
    <row r="44" spans="2:9" s="12" customFormat="1" ht="57">
      <c r="B44" s="40">
        <v>204</v>
      </c>
      <c r="C44" s="40" t="s">
        <v>91</v>
      </c>
      <c r="D44" s="41" t="s">
        <v>89</v>
      </c>
      <c r="E44" s="41" t="s">
        <v>132</v>
      </c>
      <c r="F44" s="40" t="s">
        <v>133</v>
      </c>
      <c r="G44" s="40" t="s">
        <v>70</v>
      </c>
      <c r="H44" s="40"/>
      <c r="I44" s="41" t="s">
        <v>90</v>
      </c>
    </row>
    <row r="45" spans="2:9" s="12" customFormat="1" ht="57">
      <c r="B45" s="40">
        <v>205</v>
      </c>
      <c r="C45" s="40" t="s">
        <v>94</v>
      </c>
      <c r="D45" s="41" t="s">
        <v>156</v>
      </c>
      <c r="E45" s="41" t="s">
        <v>190</v>
      </c>
      <c r="F45" s="40" t="s">
        <v>133</v>
      </c>
      <c r="G45" s="40" t="s">
        <v>70</v>
      </c>
      <c r="H45" s="40"/>
      <c r="I45" s="41"/>
    </row>
    <row r="46" spans="2:9" s="12" customFormat="1">
      <c r="B46" s="78"/>
      <c r="C46" s="79"/>
      <c r="D46" s="80" t="str">
        <f>F47</f>
        <v>communication</v>
      </c>
      <c r="E46" s="81"/>
      <c r="F46" s="79"/>
      <c r="G46" s="79"/>
      <c r="H46" s="79"/>
      <c r="I46" s="82"/>
    </row>
    <row r="47" spans="2:9" s="12" customFormat="1" ht="57">
      <c r="B47" s="40">
        <v>210</v>
      </c>
      <c r="C47" s="40" t="s">
        <v>93</v>
      </c>
      <c r="D47" s="41" t="s">
        <v>157</v>
      </c>
      <c r="E47" s="41" t="s">
        <v>191</v>
      </c>
      <c r="F47" s="40" t="s">
        <v>134</v>
      </c>
      <c r="G47" s="40" t="s">
        <v>70</v>
      </c>
      <c r="H47" s="40"/>
      <c r="I47" s="41"/>
    </row>
    <row r="48" spans="2:9" s="12" customFormat="1" ht="57">
      <c r="B48" s="40">
        <v>211</v>
      </c>
      <c r="C48" s="40" t="s">
        <v>41</v>
      </c>
      <c r="D48" s="41" t="s">
        <v>158</v>
      </c>
      <c r="E48" s="41" t="s">
        <v>123</v>
      </c>
      <c r="F48" s="40" t="s">
        <v>134</v>
      </c>
      <c r="G48" s="40" t="s">
        <v>70</v>
      </c>
      <c r="H48" s="40"/>
      <c r="I48" s="41"/>
    </row>
    <row r="49" spans="2:9" s="12" customFormat="1">
      <c r="B49" s="78"/>
      <c r="C49" s="79"/>
      <c r="D49" s="80" t="str">
        <f>F57</f>
        <v>indirectement lié</v>
      </c>
      <c r="E49" s="81"/>
      <c r="F49" s="79"/>
      <c r="G49" s="79"/>
      <c r="H49" s="79"/>
      <c r="I49" s="82"/>
    </row>
    <row r="50" spans="2:9" s="12" customFormat="1" ht="57">
      <c r="B50" s="40">
        <v>220</v>
      </c>
      <c r="C50" s="40" t="s">
        <v>209</v>
      </c>
      <c r="D50" s="41" t="s">
        <v>98</v>
      </c>
      <c r="E50" s="41" t="s">
        <v>192</v>
      </c>
      <c r="F50" s="40" t="s">
        <v>135</v>
      </c>
      <c r="G50" s="40" t="s">
        <v>70</v>
      </c>
      <c r="H50" s="40"/>
      <c r="I50" s="41"/>
    </row>
    <row r="51" spans="2:9" s="12" customFormat="1" ht="42.75">
      <c r="B51" s="40">
        <v>221</v>
      </c>
      <c r="C51" s="40" t="s">
        <v>210</v>
      </c>
      <c r="D51" s="41" t="s">
        <v>211</v>
      </c>
      <c r="E51" s="41" t="s">
        <v>212</v>
      </c>
      <c r="F51" s="40" t="s">
        <v>135</v>
      </c>
      <c r="G51" s="40" t="s">
        <v>70</v>
      </c>
      <c r="H51" s="40"/>
      <c r="I51" s="41"/>
    </row>
    <row r="52" spans="2:9" s="12" customFormat="1" ht="28.5">
      <c r="B52" s="40">
        <v>222</v>
      </c>
      <c r="C52" s="40" t="s">
        <v>124</v>
      </c>
      <c r="D52" s="41" t="s">
        <v>125</v>
      </c>
      <c r="E52" s="41" t="s">
        <v>193</v>
      </c>
      <c r="F52" s="40" t="s">
        <v>135</v>
      </c>
      <c r="G52" s="40" t="s">
        <v>70</v>
      </c>
      <c r="H52" s="40"/>
      <c r="I52" s="41"/>
    </row>
    <row r="53" spans="2:9" s="12" customFormat="1" ht="28.5">
      <c r="B53" s="40">
        <v>223</v>
      </c>
      <c r="C53" s="40" t="s">
        <v>101</v>
      </c>
      <c r="D53" s="41" t="s">
        <v>102</v>
      </c>
      <c r="E53" s="41" t="s">
        <v>131</v>
      </c>
      <c r="F53" s="40" t="s">
        <v>135</v>
      </c>
      <c r="G53" s="40" t="s">
        <v>70</v>
      </c>
      <c r="H53" s="40"/>
      <c r="I53" s="41"/>
    </row>
    <row r="54" spans="2:9" s="12" customFormat="1" ht="85.5">
      <c r="B54" s="40">
        <v>224</v>
      </c>
      <c r="C54" s="40" t="s">
        <v>129</v>
      </c>
      <c r="D54" s="41" t="s">
        <v>130</v>
      </c>
      <c r="E54" s="41" t="s">
        <v>197</v>
      </c>
      <c r="F54" s="40" t="s">
        <v>135</v>
      </c>
      <c r="G54" s="40" t="s">
        <v>70</v>
      </c>
      <c r="H54" s="40"/>
      <c r="I54" s="41"/>
    </row>
    <row r="55" spans="2:9" s="12" customFormat="1" ht="57">
      <c r="B55" s="40">
        <v>225</v>
      </c>
      <c r="C55" s="40" t="s">
        <v>127</v>
      </c>
      <c r="D55" s="41" t="s">
        <v>128</v>
      </c>
      <c r="E55" s="41" t="s">
        <v>194</v>
      </c>
      <c r="F55" s="40" t="s">
        <v>135</v>
      </c>
      <c r="G55" s="40" t="s">
        <v>70</v>
      </c>
      <c r="H55" s="40"/>
      <c r="I55" s="41"/>
    </row>
    <row r="56" spans="2:9" s="12" customFormat="1" ht="57">
      <c r="B56" s="40">
        <v>226</v>
      </c>
      <c r="C56" s="40" t="s">
        <v>195</v>
      </c>
      <c r="D56" s="41" t="s">
        <v>217</v>
      </c>
      <c r="E56" s="41" t="s">
        <v>221</v>
      </c>
      <c r="F56" s="40" t="s">
        <v>135</v>
      </c>
      <c r="G56" s="40" t="s">
        <v>70</v>
      </c>
      <c r="H56" s="40"/>
      <c r="I56" s="41" t="s">
        <v>173</v>
      </c>
    </row>
    <row r="57" spans="2:9" s="12" customFormat="1" ht="85.5">
      <c r="B57" s="40">
        <v>227</v>
      </c>
      <c r="C57" s="40" t="s">
        <v>117</v>
      </c>
      <c r="D57" s="41" t="s">
        <v>118</v>
      </c>
      <c r="E57" s="41" t="s">
        <v>198</v>
      </c>
      <c r="F57" s="40" t="s">
        <v>135</v>
      </c>
      <c r="G57" s="40" t="s">
        <v>70</v>
      </c>
      <c r="H57" s="40"/>
      <c r="I57" s="41"/>
    </row>
    <row r="58" spans="2:9" s="12" customFormat="1">
      <c r="B58" s="78"/>
      <c r="C58" s="79"/>
      <c r="D58" s="80" t="str">
        <f>F59</f>
        <v>formation</v>
      </c>
      <c r="E58" s="81"/>
      <c r="F58" s="79"/>
      <c r="G58" s="79"/>
      <c r="H58" s="79"/>
      <c r="I58" s="82"/>
    </row>
    <row r="59" spans="2:9" s="12" customFormat="1" ht="57">
      <c r="B59" s="40">
        <v>230</v>
      </c>
      <c r="C59" s="40" t="s">
        <v>201</v>
      </c>
      <c r="D59" s="41" t="s">
        <v>103</v>
      </c>
      <c r="E59" s="41" t="s">
        <v>204</v>
      </c>
      <c r="F59" s="40" t="s">
        <v>136</v>
      </c>
      <c r="G59" s="40" t="s">
        <v>70</v>
      </c>
      <c r="H59" s="40"/>
      <c r="I59" s="41"/>
    </row>
    <row r="60" spans="2:9" s="12" customFormat="1" ht="42.75">
      <c r="B60" s="40">
        <v>231</v>
      </c>
      <c r="C60" s="40" t="s">
        <v>200</v>
      </c>
      <c r="D60" s="41" t="s">
        <v>199</v>
      </c>
      <c r="E60" s="41" t="s">
        <v>218</v>
      </c>
      <c r="F60" s="40" t="s">
        <v>136</v>
      </c>
      <c r="G60" s="40" t="s">
        <v>70</v>
      </c>
      <c r="H60" s="40"/>
      <c r="I60" s="41"/>
    </row>
    <row r="61" spans="2:9" s="12" customFormat="1" ht="28.5">
      <c r="B61" s="40">
        <v>232</v>
      </c>
      <c r="C61" s="40" t="s">
        <v>205</v>
      </c>
      <c r="D61" s="41" t="s">
        <v>207</v>
      </c>
      <c r="E61" s="41" t="s">
        <v>206</v>
      </c>
      <c r="F61" s="40" t="s">
        <v>208</v>
      </c>
      <c r="G61" s="40" t="s">
        <v>70</v>
      </c>
      <c r="H61" s="40"/>
      <c r="I61" s="41"/>
    </row>
    <row r="62" spans="2:9" s="12" customFormat="1">
      <c r="B62" s="78"/>
      <c r="C62" s="79"/>
      <c r="D62" s="80" t="str">
        <f>F63</f>
        <v>administratif</v>
      </c>
      <c r="E62" s="81"/>
      <c r="F62" s="79"/>
      <c r="G62" s="79"/>
      <c r="H62" s="79"/>
      <c r="I62" s="82"/>
    </row>
    <row r="63" spans="2:9" ht="42.75">
      <c r="B63" s="40">
        <v>240</v>
      </c>
      <c r="C63" s="40" t="s">
        <v>100</v>
      </c>
      <c r="D63" s="41" t="s">
        <v>99</v>
      </c>
      <c r="E63" s="41" t="s">
        <v>203</v>
      </c>
      <c r="F63" s="40" t="s">
        <v>137</v>
      </c>
      <c r="G63" s="40" t="s">
        <v>70</v>
      </c>
      <c r="H63" s="40"/>
      <c r="I63" s="41"/>
    </row>
    <row r="64" spans="2:9" ht="42.75">
      <c r="B64" s="40">
        <v>250</v>
      </c>
      <c r="C64" s="40" t="s">
        <v>119</v>
      </c>
      <c r="D64" s="41" t="s">
        <v>120</v>
      </c>
      <c r="E64" s="41" t="s">
        <v>202</v>
      </c>
      <c r="F64" s="40" t="s">
        <v>9</v>
      </c>
      <c r="G64" s="40" t="s">
        <v>70</v>
      </c>
      <c r="H64" s="40"/>
      <c r="I64" s="41"/>
    </row>
    <row r="65" spans="2:9">
      <c r="B65" s="78"/>
      <c r="C65" s="79"/>
      <c r="D65" s="80" t="str">
        <f>F66</f>
        <v>autre</v>
      </c>
      <c r="E65" s="81"/>
      <c r="F65" s="79"/>
      <c r="G65" s="79"/>
      <c r="H65" s="79"/>
      <c r="I65" s="82"/>
    </row>
    <row r="66" spans="2:9" ht="42.75">
      <c r="B66" s="40">
        <v>260</v>
      </c>
      <c r="C66" s="40" t="s">
        <v>96</v>
      </c>
      <c r="D66" s="41" t="s">
        <v>95</v>
      </c>
      <c r="E66" s="41" t="s">
        <v>97</v>
      </c>
      <c r="F66" s="40" t="s">
        <v>143</v>
      </c>
      <c r="G66" s="40" t="s">
        <v>70</v>
      </c>
      <c r="H66" s="40"/>
      <c r="I66" s="41"/>
    </row>
    <row r="67" spans="2:9">
      <c r="B67" s="40">
        <v>261</v>
      </c>
      <c r="C67" s="40" t="s">
        <v>141</v>
      </c>
      <c r="D67" s="41" t="s">
        <v>142</v>
      </c>
      <c r="E67" s="41" t="s">
        <v>142</v>
      </c>
      <c r="F67" s="40" t="s">
        <v>143</v>
      </c>
      <c r="G67" s="40" t="s">
        <v>70</v>
      </c>
      <c r="H67" s="40"/>
      <c r="I67" s="41"/>
    </row>
    <row r="68" spans="2:9" s="11" customFormat="1">
      <c r="B68" s="74" t="s">
        <v>160</v>
      </c>
      <c r="C68" s="75"/>
      <c r="D68" s="76"/>
      <c r="E68" s="76"/>
      <c r="F68" s="75"/>
      <c r="G68" s="75"/>
      <c r="H68" s="75"/>
      <c r="I68" s="77"/>
    </row>
    <row r="69" spans="2:9" s="12" customFormat="1" ht="71.25">
      <c r="B69" s="42">
        <v>301</v>
      </c>
      <c r="C69" s="42" t="s">
        <v>167</v>
      </c>
      <c r="D69" s="43" t="s">
        <v>163</v>
      </c>
      <c r="E69" s="43" t="s">
        <v>171</v>
      </c>
      <c r="F69" s="42" t="s">
        <v>162</v>
      </c>
      <c r="G69" s="42" t="s">
        <v>162</v>
      </c>
      <c r="H69" s="42"/>
      <c r="I69" s="43" t="s">
        <v>172</v>
      </c>
    </row>
    <row r="70" spans="2:9" s="29" customFormat="1" ht="57">
      <c r="B70" s="42">
        <v>302</v>
      </c>
      <c r="C70" s="42" t="s">
        <v>164</v>
      </c>
      <c r="D70" s="43" t="s">
        <v>165</v>
      </c>
      <c r="E70" s="43" t="s">
        <v>166</v>
      </c>
      <c r="F70" s="42" t="s">
        <v>162</v>
      </c>
      <c r="G70" s="42" t="s">
        <v>162</v>
      </c>
      <c r="H70" s="42"/>
      <c r="I70" s="43"/>
    </row>
    <row r="71" spans="2:9" s="29" customFormat="1" ht="42.75">
      <c r="B71" s="42">
        <v>303</v>
      </c>
      <c r="C71" s="42" t="s">
        <v>168</v>
      </c>
      <c r="D71" s="43" t="s">
        <v>169</v>
      </c>
      <c r="E71" s="43" t="s">
        <v>219</v>
      </c>
      <c r="F71" s="42" t="s">
        <v>162</v>
      </c>
      <c r="G71" s="42" t="s">
        <v>162</v>
      </c>
      <c r="H71" s="42"/>
      <c r="I71" s="43"/>
    </row>
    <row r="72" spans="2:9" ht="71.25">
      <c r="B72" s="42">
        <v>304</v>
      </c>
      <c r="C72" s="42" t="s">
        <v>170</v>
      </c>
      <c r="D72" s="43" t="s">
        <v>176</v>
      </c>
      <c r="E72" s="43" t="s">
        <v>175</v>
      </c>
      <c r="F72" s="42" t="s">
        <v>162</v>
      </c>
      <c r="G72" s="42" t="s">
        <v>162</v>
      </c>
      <c r="H72" s="42"/>
      <c r="I72" s="43" t="s">
        <v>174</v>
      </c>
    </row>
    <row r="73" spans="2:9">
      <c r="B73" s="25"/>
      <c r="C73" s="25"/>
      <c r="D73" s="28"/>
      <c r="E73" s="26"/>
      <c r="F73" s="27"/>
      <c r="G73" s="27"/>
      <c r="H73" s="25"/>
      <c r="I73" s="28"/>
    </row>
    <row r="74" spans="2:9">
      <c r="B74" s="25"/>
      <c r="C74" s="25"/>
      <c r="D74" s="28"/>
      <c r="E74" s="71"/>
      <c r="F74" s="72"/>
      <c r="G74" s="72"/>
      <c r="H74" s="73"/>
      <c r="I74" s="28"/>
    </row>
  </sheetData>
  <phoneticPr fontId="8" type="noConversion"/>
  <conditionalFormatting sqref="C66:C1048576 C63:C64 C59:C61 C1:C34 C47:C48 C50:C57 C36:C39 C41:C45">
    <cfRule type="duplicateValues" dxfId="2" priority="10"/>
  </conditionalFormatting>
  <conditionalFormatting sqref="B66:B74 B63:B64 B47:B48 B12:B39 B41:B45 B59:B61 B50:B57">
    <cfRule type="duplicateValues" dxfId="1" priority="89"/>
  </conditionalFormatting>
  <conditionalFormatting sqref="C32">
    <cfRule type="duplicateValues" dxfId="0" priority="1"/>
  </conditionalFormatting>
  <dataValidations count="1">
    <dataValidation type="textLength" allowBlank="1" showErrorMessage="1" sqref="C66:C1048576 C59:C61 C50:C57 C63:C64 C1:C48">
      <formula1>0</formula1>
      <formula2>8</formula2>
    </dataValidation>
  </dataValidations>
  <pageMargins left="0.59055118110236227" right="0.39370078740157483" top="0.6" bottom="0.59055118110236227" header="0.31496062992125984" footer="0.31496062992125984"/>
  <pageSetup paperSize="9" scale="64" fitToHeight="8" orientation="landscape" r:id="rId1"/>
  <rowBreaks count="3" manualBreakCount="3">
    <brk id="38" max="8" man="1"/>
    <brk id="57" max="8" man="1"/>
    <brk id="67" max="8" man="1"/>
  </rowBreaks>
  <drawing r:id="rId2"/>
  <tableParts count="1">
    <tablePart r:id="rId3"/>
  </tableParts>
  <extLst>
    <ext xmlns:mx="http://schemas.microsoft.com/office/mac/excel/2008/main" uri="{64002731-A6B0-56B0-2670-7721B7C09600}">
      <mx:PLV Mode="0" OnePage="0" WScale="100"/>
    </ext>
  </extLst>
</worksheet>
</file>

<file path=xl/worksheets/sheet2.xml><?xml version="1.0" encoding="utf-8"?>
<worksheet xmlns="http://schemas.openxmlformats.org/spreadsheetml/2006/main" xmlns:r="http://schemas.openxmlformats.org/officeDocument/2006/relationships">
  <sheetPr codeName="Feuil2" enableFormatConditionsCalculation="0"/>
  <dimension ref="A2:AE90"/>
  <sheetViews>
    <sheetView showGridLines="0" topLeftCell="A4" zoomScaleNormal="100" workbookViewId="0">
      <selection activeCell="B41" sqref="B41:L41"/>
    </sheetView>
  </sheetViews>
  <sheetFormatPr baseColWidth="10" defaultRowHeight="14.25"/>
  <cols>
    <col min="1" max="1" width="8.875" customWidth="1"/>
    <col min="2" max="2" width="18.125" style="13" bestFit="1" customWidth="1"/>
    <col min="3" max="3" width="15.375" style="21" customWidth="1"/>
    <col min="4" max="4" width="6.875" style="14" bestFit="1" customWidth="1"/>
    <col min="5" max="5" width="11" style="14" customWidth="1"/>
    <col min="6" max="6" width="13.5" bestFit="1" customWidth="1"/>
    <col min="7" max="7" width="37.5" bestFit="1" customWidth="1"/>
    <col min="8" max="8" width="12.375" style="14" bestFit="1" customWidth="1"/>
    <col min="9" max="9" width="8.875" style="14" bestFit="1" customWidth="1"/>
    <col min="10" max="10" width="8.125" style="14" bestFit="1" customWidth="1"/>
    <col min="11" max="11" width="11.375" style="14" customWidth="1"/>
    <col min="12" max="12" width="9.875" customWidth="1"/>
    <col min="13" max="13" width="10.625" hidden="1" customWidth="1"/>
    <col min="14" max="14" width="9.875" customWidth="1"/>
    <col min="15" max="15" width="20.75" customWidth="1"/>
    <col min="16" max="16" width="6.875" customWidth="1"/>
    <col min="17" max="18" width="13.875" customWidth="1"/>
    <col min="22" max="22" width="18.25" bestFit="1" customWidth="1"/>
    <col min="23" max="23" width="20.625" bestFit="1" customWidth="1"/>
    <col min="24" max="24" width="5" customWidth="1"/>
    <col min="25" max="25" width="6" customWidth="1"/>
    <col min="28" max="28" width="20.75" customWidth="1"/>
    <col min="29" max="29" width="23.625" customWidth="1"/>
    <col min="30" max="30" width="5.875" customWidth="1"/>
    <col min="31" max="31" width="12.625" bestFit="1" customWidth="1"/>
  </cols>
  <sheetData>
    <row r="2" spans="1:12">
      <c r="B2" s="44"/>
      <c r="C2" s="45"/>
      <c r="D2" s="46"/>
      <c r="E2" s="46"/>
      <c r="F2" s="47"/>
      <c r="G2" s="47"/>
      <c r="H2" s="46"/>
      <c r="I2" s="46"/>
      <c r="J2" s="46"/>
      <c r="K2" s="46"/>
      <c r="L2" s="48"/>
    </row>
    <row r="3" spans="1:12">
      <c r="B3" s="49"/>
      <c r="C3" s="50"/>
      <c r="D3" s="51"/>
      <c r="E3" s="51"/>
      <c r="F3" s="52"/>
      <c r="G3" s="52"/>
      <c r="H3" s="51"/>
      <c r="I3" s="51"/>
      <c r="J3" s="51"/>
      <c r="K3" s="51"/>
      <c r="L3" s="53"/>
    </row>
    <row r="4" spans="1:12">
      <c r="B4" s="49"/>
      <c r="C4" s="50"/>
      <c r="D4" s="51"/>
      <c r="E4" s="51"/>
      <c r="F4" s="52"/>
      <c r="G4" s="52"/>
      <c r="H4" s="51"/>
      <c r="I4" s="51"/>
      <c r="J4" s="51"/>
      <c r="K4" s="51"/>
      <c r="L4" s="53"/>
    </row>
    <row r="5" spans="1:12">
      <c r="B5" s="49"/>
      <c r="C5" s="50"/>
      <c r="D5" s="51"/>
      <c r="E5" s="51"/>
      <c r="F5" s="52"/>
      <c r="G5" s="52"/>
      <c r="H5" s="51"/>
      <c r="I5" s="51"/>
      <c r="J5" s="51"/>
      <c r="K5" s="51"/>
      <c r="L5" s="53"/>
    </row>
    <row r="6" spans="1:12">
      <c r="B6" s="49"/>
      <c r="C6" s="50"/>
      <c r="D6" s="51"/>
      <c r="E6" s="51"/>
      <c r="F6" s="52"/>
      <c r="G6" s="52"/>
      <c r="H6" s="51"/>
      <c r="I6" s="51"/>
      <c r="J6" s="51"/>
      <c r="K6" s="51"/>
      <c r="L6" s="53"/>
    </row>
    <row r="7" spans="1:12">
      <c r="B7" s="49"/>
      <c r="C7" s="50"/>
      <c r="D7" s="51"/>
      <c r="E7" s="51"/>
      <c r="F7" s="52"/>
      <c r="G7" s="52"/>
      <c r="H7" s="51"/>
      <c r="I7" s="51"/>
      <c r="J7" s="51"/>
      <c r="K7" s="51"/>
      <c r="L7" s="53"/>
    </row>
    <row r="8" spans="1:12">
      <c r="B8" s="49"/>
      <c r="C8" s="50"/>
      <c r="D8" s="51"/>
      <c r="E8" s="51"/>
      <c r="F8" s="52"/>
      <c r="G8" s="52"/>
      <c r="H8" s="51"/>
      <c r="I8" s="51"/>
      <c r="J8" s="51"/>
      <c r="K8" s="51"/>
      <c r="L8" s="53"/>
    </row>
    <row r="9" spans="1:12">
      <c r="B9" s="49"/>
      <c r="C9" s="50"/>
      <c r="D9" s="51"/>
      <c r="E9" s="51"/>
      <c r="F9" s="52"/>
      <c r="G9" s="52"/>
      <c r="H9" s="51"/>
      <c r="I9" s="51"/>
      <c r="J9" s="51"/>
      <c r="K9" s="51"/>
      <c r="L9" s="53"/>
    </row>
    <row r="10" spans="1:12">
      <c r="B10" s="49"/>
      <c r="C10" s="50"/>
      <c r="D10" s="51"/>
      <c r="E10" s="51"/>
      <c r="F10" s="52"/>
      <c r="G10" s="52"/>
      <c r="H10" s="51"/>
      <c r="I10" s="51"/>
      <c r="J10" s="51"/>
      <c r="K10" s="51"/>
      <c r="L10" s="53"/>
    </row>
    <row r="11" spans="1:12">
      <c r="B11" s="49"/>
      <c r="C11" s="50"/>
      <c r="D11" s="51"/>
      <c r="E11" s="51"/>
      <c r="F11" s="52"/>
      <c r="G11" s="52"/>
      <c r="H11" s="51"/>
      <c r="I11" s="51"/>
      <c r="J11" s="51"/>
      <c r="K11" s="51"/>
      <c r="L11" s="53"/>
    </row>
    <row r="12" spans="1:12">
      <c r="B12" s="49"/>
      <c r="C12" s="65" t="s">
        <v>178</v>
      </c>
      <c r="D12" s="64">
        <v>220</v>
      </c>
      <c r="E12" s="51"/>
      <c r="F12" s="52"/>
      <c r="G12" s="52"/>
      <c r="H12" s="51"/>
      <c r="I12" s="51"/>
      <c r="J12" s="51"/>
      <c r="K12" s="51"/>
      <c r="L12" s="53"/>
    </row>
    <row r="13" spans="1:12">
      <c r="B13" s="49"/>
      <c r="C13" s="65" t="s">
        <v>104</v>
      </c>
      <c r="D13" s="64">
        <v>3</v>
      </c>
      <c r="E13" s="51"/>
      <c r="F13" s="52"/>
      <c r="G13" s="52"/>
      <c r="H13" s="51"/>
      <c r="I13" s="51"/>
      <c r="J13" s="51"/>
      <c r="K13" s="51"/>
      <c r="L13" s="53"/>
    </row>
    <row r="14" spans="1:12">
      <c r="B14" s="54"/>
      <c r="C14" s="55"/>
      <c r="D14" s="56"/>
      <c r="E14" s="56"/>
      <c r="F14" s="57"/>
      <c r="G14" s="57"/>
      <c r="H14" s="56"/>
      <c r="I14" s="56"/>
      <c r="J14" s="56"/>
      <c r="K14" s="56"/>
      <c r="L14" s="58"/>
    </row>
    <row r="15" spans="1:12" ht="6.75" customHeight="1"/>
    <row r="16" spans="1:12" ht="16.5">
      <c r="A16" s="67" t="s">
        <v>179</v>
      </c>
      <c r="B16" s="61">
        <f>INDEX(Tableau1[DATEH],COUNT(Tableau1[DATEH]))</f>
        <v>41992.747676388892</v>
      </c>
      <c r="C16" s="68">
        <f ca="1">HOUR(B17-B16)*3600+MINUTE(B17-B16)*60+SECOND(B17-B16)</f>
        <v>75747</v>
      </c>
      <c r="D16" s="62">
        <f>INDEX(Tableau1[ID],COUNTA(Tableau1[ID]))</f>
        <v>220</v>
      </c>
      <c r="E16" s="62">
        <f>INDEX(Tableau1[OBSERV],COUNTA(Tableau1[OBSERV]))</f>
        <v>1</v>
      </c>
      <c r="F16" s="63" t="str">
        <f>INDEX(Tableau1[ACTIVITE],COUNTA(Tableau1[ACTIVITE]))</f>
        <v>CONTACT</v>
      </c>
      <c r="G16" s="63" t="str">
        <f>VLOOKUP(F16,Codebook!$C$41:$D$67,2,FALSE)</f>
        <v>Contact avec collaborateur concernant un patient</v>
      </c>
      <c r="H16" s="62">
        <f>INDEX(Tableau1[PT_PRENT],COUNTA(Tableau1[PT_PRENT]))</f>
        <v>0</v>
      </c>
      <c r="I16" s="62">
        <f>INDEX(Tableau1[ORDI],COUNTA(Tableau1[ORDI]))</f>
        <v>0</v>
      </c>
      <c r="J16" s="62">
        <f>INDEX(Tableau1[TEL],COUNTA(Tableau1[TEL]))</f>
        <v>1</v>
      </c>
      <c r="K16" s="62">
        <f>INDEX(Tableau1[COLLEGUE],COUNTA(Tableau1[COLLEGUE]))</f>
        <v>0</v>
      </c>
      <c r="L16" s="62">
        <f>INDEX(Tableau1[FLAG],COUNTA(Tableau1[FLAG]))</f>
        <v>0</v>
      </c>
    </row>
    <row r="17" spans="1:31" ht="16.5">
      <c r="A17" s="67" t="s">
        <v>180</v>
      </c>
      <c r="B17" s="60">
        <f ca="1">NOW()</f>
        <v>42104.62437326389</v>
      </c>
      <c r="C17" s="66" t="s">
        <v>177</v>
      </c>
      <c r="D17" s="69">
        <f>D12</f>
        <v>220</v>
      </c>
      <c r="E17" s="69">
        <f>D13</f>
        <v>3</v>
      </c>
      <c r="F17" s="70" t="str">
        <f>INDEX(Codebook!C41:C67,log!F18,0)</f>
        <v>CONTACT</v>
      </c>
      <c r="G17" s="70" t="str">
        <f>VLOOKUP(F17,Codebook!$C$41:$D$67,2,FALSE)</f>
        <v>Contact avec collaborateur concernant un patient</v>
      </c>
      <c r="H17" s="69">
        <f>H18-1</f>
        <v>0</v>
      </c>
      <c r="I17" s="69">
        <f t="shared" ref="I17:K17" si="0">I18-1</f>
        <v>0</v>
      </c>
      <c r="J17" s="69">
        <f t="shared" si="0"/>
        <v>1</v>
      </c>
      <c r="K17" s="69">
        <f t="shared" si="0"/>
        <v>0</v>
      </c>
      <c r="L17" s="69">
        <f>IF(L18-1&gt;0,INDEX(Codebook!C69:C72,L18-1),0)</f>
        <v>0</v>
      </c>
    </row>
    <row r="18" spans="1:31" s="14" customFormat="1" hidden="1">
      <c r="C18" s="21"/>
      <c r="F18" s="14">
        <v>16</v>
      </c>
      <c r="H18" s="14">
        <v>1</v>
      </c>
      <c r="I18" s="14">
        <v>1</v>
      </c>
      <c r="J18" s="14">
        <v>2</v>
      </c>
      <c r="K18" s="14">
        <v>1</v>
      </c>
      <c r="L18" s="14">
        <v>1</v>
      </c>
    </row>
    <row r="19" spans="1:31" ht="7.5" customHeight="1"/>
    <row r="20" spans="1:31" ht="16.5">
      <c r="B20" s="16" t="s">
        <v>107</v>
      </c>
      <c r="C20" s="20" t="s">
        <v>122</v>
      </c>
      <c r="D20" s="17" t="s">
        <v>10</v>
      </c>
      <c r="E20" s="17" t="s">
        <v>105</v>
      </c>
      <c r="F20" s="18" t="s">
        <v>80</v>
      </c>
      <c r="G20" s="18" t="s">
        <v>149</v>
      </c>
      <c r="H20" s="17" t="s">
        <v>75</v>
      </c>
      <c r="I20" s="17" t="s">
        <v>83</v>
      </c>
      <c r="J20" s="17" t="s">
        <v>84</v>
      </c>
      <c r="K20" s="17" t="s">
        <v>86</v>
      </c>
      <c r="L20" s="59" t="s">
        <v>159</v>
      </c>
      <c r="M20" t="s">
        <v>113</v>
      </c>
    </row>
    <row r="21" spans="1:31">
      <c r="B21" s="15">
        <v>41655.326388888891</v>
      </c>
      <c r="C21" s="19">
        <v>259</v>
      </c>
      <c r="D21" s="14">
        <v>213</v>
      </c>
      <c r="E21" s="14">
        <v>1</v>
      </c>
      <c r="F21" t="s">
        <v>96</v>
      </c>
      <c r="G21" t="str">
        <f>VLOOKUP(Tableau1[[#This Row],[ACTIVITE]],Codebook!$C$41:$D$67,2,FALSE)</f>
        <v>Temps de transition</v>
      </c>
      <c r="H21" s="14">
        <v>0</v>
      </c>
      <c r="I21" s="14">
        <v>0</v>
      </c>
      <c r="J21" s="14">
        <v>0</v>
      </c>
      <c r="K21" s="14">
        <v>0</v>
      </c>
      <c r="L21" s="14">
        <v>0</v>
      </c>
      <c r="M21">
        <v>3</v>
      </c>
      <c r="O21" s="22" t="s">
        <v>147</v>
      </c>
    </row>
    <row r="22" spans="1:31">
      <c r="B22" s="15">
        <f>B21+(M21/1000)</f>
        <v>41655.329388888887</v>
      </c>
      <c r="C22" s="19">
        <v>259</v>
      </c>
      <c r="D22" s="14">
        <v>213</v>
      </c>
      <c r="E22" s="14">
        <v>1</v>
      </c>
      <c r="F22" t="s">
        <v>100</v>
      </c>
      <c r="G22" t="str">
        <f>VLOOKUP(Tableau1[[#This Row],[ACTIVITE]],Codebook!$C$41:$D$67,2,FALSE)</f>
        <v>Administratif</v>
      </c>
      <c r="H22" s="14">
        <v>0</v>
      </c>
      <c r="I22" s="14">
        <v>1</v>
      </c>
      <c r="J22" s="14">
        <v>0</v>
      </c>
      <c r="K22" s="14">
        <v>0</v>
      </c>
      <c r="L22" s="14">
        <v>0</v>
      </c>
      <c r="M22">
        <v>3</v>
      </c>
      <c r="O22" s="22" t="s">
        <v>145</v>
      </c>
      <c r="P22" t="s">
        <v>146</v>
      </c>
      <c r="AB22" s="22" t="s">
        <v>147</v>
      </c>
      <c r="AC22" s="22" t="s">
        <v>148</v>
      </c>
    </row>
    <row r="23" spans="1:31">
      <c r="B23" s="15">
        <f t="shared" ref="B23:B68" si="1">B22+(M22/1000)</f>
        <v>41655.332388888884</v>
      </c>
      <c r="C23" s="19">
        <v>86</v>
      </c>
      <c r="D23" s="14">
        <v>213</v>
      </c>
      <c r="E23" s="14">
        <v>1</v>
      </c>
      <c r="F23" t="s">
        <v>96</v>
      </c>
      <c r="G23" t="str">
        <f>VLOOKUP(Tableau1[[#This Row],[ACTIVITE]],Codebook!$C$41:$D$67,2,FALSE)</f>
        <v>Temps de transition</v>
      </c>
      <c r="H23" s="14">
        <v>0</v>
      </c>
      <c r="I23" s="14">
        <v>0</v>
      </c>
      <c r="J23" s="14">
        <v>0</v>
      </c>
      <c r="K23" s="14">
        <v>0</v>
      </c>
      <c r="L23" s="14">
        <v>0</v>
      </c>
      <c r="M23">
        <v>1</v>
      </c>
      <c r="O23" s="13" t="s">
        <v>74</v>
      </c>
      <c r="P23" s="23">
        <v>25803</v>
      </c>
      <c r="AB23" s="22" t="s">
        <v>145</v>
      </c>
      <c r="AC23">
        <v>0</v>
      </c>
      <c r="AD23">
        <v>1</v>
      </c>
      <c r="AE23" t="s">
        <v>213</v>
      </c>
    </row>
    <row r="24" spans="1:31">
      <c r="B24" s="15">
        <f t="shared" si="1"/>
        <v>41655.333388888881</v>
      </c>
      <c r="C24" s="19">
        <v>605</v>
      </c>
      <c r="D24" s="14">
        <v>213</v>
      </c>
      <c r="E24" s="14">
        <v>1</v>
      </c>
      <c r="F24" t="s">
        <v>117</v>
      </c>
      <c r="G24" t="str">
        <f>VLOOKUP(Tableau1[[#This Row],[ACTIVITE]],Codebook!$C$41:$D$67,2,FALSE)</f>
        <v>Colloque</v>
      </c>
      <c r="H24" s="14">
        <v>0</v>
      </c>
      <c r="I24" s="14">
        <v>0</v>
      </c>
      <c r="J24" s="14">
        <v>0</v>
      </c>
      <c r="K24" s="14">
        <v>2</v>
      </c>
      <c r="L24" s="14">
        <v>0</v>
      </c>
      <c r="M24">
        <v>7</v>
      </c>
      <c r="O24" s="13" t="s">
        <v>124</v>
      </c>
      <c r="P24" s="23">
        <v>6048</v>
      </c>
      <c r="AB24" s="13" t="s">
        <v>74</v>
      </c>
      <c r="AC24" s="23">
        <v>3217</v>
      </c>
      <c r="AD24" s="23">
        <v>22586</v>
      </c>
      <c r="AE24" s="23">
        <v>25803</v>
      </c>
    </row>
    <row r="25" spans="1:31">
      <c r="B25" s="15">
        <f t="shared" si="1"/>
        <v>41655.340388888879</v>
      </c>
      <c r="C25" s="19">
        <v>864</v>
      </c>
      <c r="D25" s="14">
        <v>213</v>
      </c>
      <c r="E25" s="14">
        <v>1</v>
      </c>
      <c r="F25" t="s">
        <v>201</v>
      </c>
      <c r="G25" t="str">
        <f>VLOOKUP(Tableau1[[#This Row],[ACTIVITE]],Codebook!$C$41:$D$67,2,FALSE)</f>
        <v>Formation</v>
      </c>
      <c r="H25" s="14">
        <v>0</v>
      </c>
      <c r="I25" s="14">
        <v>0</v>
      </c>
      <c r="J25" s="14">
        <v>0</v>
      </c>
      <c r="K25" s="14">
        <v>2</v>
      </c>
      <c r="L25" s="14">
        <v>0</v>
      </c>
      <c r="M25">
        <v>10</v>
      </c>
      <c r="O25" s="13" t="s">
        <v>127</v>
      </c>
      <c r="P25" s="23">
        <v>2765</v>
      </c>
      <c r="AB25" s="13" t="s">
        <v>53</v>
      </c>
      <c r="AC25" s="23">
        <v>259</v>
      </c>
      <c r="AD25" s="23">
        <v>86</v>
      </c>
      <c r="AE25" s="23">
        <v>345</v>
      </c>
    </row>
    <row r="26" spans="1:31">
      <c r="B26" s="15">
        <f t="shared" si="1"/>
        <v>41655.350388888881</v>
      </c>
      <c r="C26" s="19">
        <v>259</v>
      </c>
      <c r="D26" s="14">
        <v>213</v>
      </c>
      <c r="E26" s="14">
        <v>1</v>
      </c>
      <c r="F26" t="s">
        <v>195</v>
      </c>
      <c r="G26" t="str">
        <f>VLOOKUP(Tableau1[[#This Row],[ACTIVITE]],Codebook!$C$41:$D$67,2,FALSE)</f>
        <v>Contact avec collaborateur concernant un patient</v>
      </c>
      <c r="H26" s="14">
        <v>0</v>
      </c>
      <c r="I26" s="14">
        <v>0</v>
      </c>
      <c r="J26" s="14">
        <v>1</v>
      </c>
      <c r="K26" s="14">
        <v>0</v>
      </c>
      <c r="L26" s="14">
        <v>0</v>
      </c>
      <c r="M26">
        <v>3</v>
      </c>
      <c r="O26" s="13" t="s">
        <v>101</v>
      </c>
      <c r="P26" s="23">
        <v>67805</v>
      </c>
      <c r="AB26" s="13" t="s">
        <v>100</v>
      </c>
      <c r="AC26" s="23">
        <v>259</v>
      </c>
      <c r="AD26" s="23"/>
      <c r="AE26" s="23">
        <v>259</v>
      </c>
    </row>
    <row r="27" spans="1:31">
      <c r="B27" s="15">
        <f t="shared" si="1"/>
        <v>41655.353388888878</v>
      </c>
      <c r="C27" s="19">
        <v>864</v>
      </c>
      <c r="D27" s="14">
        <v>213</v>
      </c>
      <c r="E27" s="14">
        <v>1</v>
      </c>
      <c r="F27" t="s">
        <v>201</v>
      </c>
      <c r="G27" t="str">
        <f>VLOOKUP(Tableau1[[#This Row],[ACTIVITE]],Codebook!$C$41:$D$67,2,FALSE)</f>
        <v>Formation</v>
      </c>
      <c r="H27" s="14">
        <v>0</v>
      </c>
      <c r="I27" s="14">
        <v>0</v>
      </c>
      <c r="J27" s="14">
        <v>0</v>
      </c>
      <c r="K27" s="14">
        <v>2</v>
      </c>
      <c r="L27" s="14">
        <v>0</v>
      </c>
      <c r="M27">
        <v>10</v>
      </c>
      <c r="O27" s="13" t="s">
        <v>117</v>
      </c>
      <c r="P27" s="23">
        <v>691</v>
      </c>
      <c r="AB27" s="13" t="s">
        <v>117</v>
      </c>
      <c r="AC27" s="23">
        <v>691</v>
      </c>
      <c r="AD27" s="23"/>
      <c r="AE27" s="23">
        <v>691</v>
      </c>
    </row>
    <row r="28" spans="1:31">
      <c r="B28" s="15">
        <f t="shared" si="1"/>
        <v>41655.36338888888</v>
      </c>
      <c r="C28" s="19">
        <v>86</v>
      </c>
      <c r="D28" s="14">
        <v>213</v>
      </c>
      <c r="E28" s="14">
        <v>1</v>
      </c>
      <c r="F28" t="s">
        <v>96</v>
      </c>
      <c r="G28" t="str">
        <f>VLOOKUP(Tableau1[[#This Row],[ACTIVITE]],Codebook!$C$41:$D$67,2,FALSE)</f>
        <v>Temps de transition</v>
      </c>
      <c r="H28" s="14">
        <v>0</v>
      </c>
      <c r="I28" s="14">
        <v>0</v>
      </c>
      <c r="J28" s="14">
        <v>0</v>
      </c>
      <c r="K28" s="14">
        <v>2</v>
      </c>
      <c r="L28" s="14">
        <v>0</v>
      </c>
      <c r="M28">
        <v>1</v>
      </c>
      <c r="O28" s="13" t="s">
        <v>96</v>
      </c>
      <c r="P28" s="23">
        <v>5222</v>
      </c>
      <c r="AB28" s="13" t="s">
        <v>124</v>
      </c>
      <c r="AC28" s="23">
        <v>6048</v>
      </c>
      <c r="AD28" s="23"/>
      <c r="AE28" s="23">
        <v>6048</v>
      </c>
    </row>
    <row r="29" spans="1:31">
      <c r="B29" s="15">
        <f t="shared" si="1"/>
        <v>41655.364388888876</v>
      </c>
      <c r="C29" s="19">
        <v>864</v>
      </c>
      <c r="D29" s="14">
        <v>213</v>
      </c>
      <c r="E29" s="14">
        <v>1</v>
      </c>
      <c r="F29" t="s">
        <v>195</v>
      </c>
      <c r="G29" t="str">
        <f>VLOOKUP(Tableau1[[#This Row],[ACTIVITE]],Codebook!$C$41:$D$67,2,FALSE)</f>
        <v>Contact avec collaborateur concernant un patient</v>
      </c>
      <c r="H29" s="14">
        <v>0</v>
      </c>
      <c r="I29" s="14">
        <v>0</v>
      </c>
      <c r="J29" s="14">
        <v>0</v>
      </c>
      <c r="K29" s="14">
        <v>2</v>
      </c>
      <c r="L29" s="14">
        <v>0</v>
      </c>
      <c r="M29">
        <v>10</v>
      </c>
      <c r="O29" s="13" t="s">
        <v>53</v>
      </c>
      <c r="P29" s="23">
        <v>345</v>
      </c>
      <c r="AB29" s="13" t="s">
        <v>101</v>
      </c>
      <c r="AC29" s="23">
        <v>67805</v>
      </c>
      <c r="AD29" s="23"/>
      <c r="AE29" s="23">
        <v>67805</v>
      </c>
    </row>
    <row r="30" spans="1:31">
      <c r="B30" s="15">
        <f t="shared" si="1"/>
        <v>41655.374388888878</v>
      </c>
      <c r="C30" s="19">
        <v>86</v>
      </c>
      <c r="D30" s="14">
        <v>213</v>
      </c>
      <c r="E30" s="14">
        <v>1</v>
      </c>
      <c r="F30" t="s">
        <v>96</v>
      </c>
      <c r="G30" t="str">
        <f>VLOOKUP(Tableau1[[#This Row],[ACTIVITE]],Codebook!$C$41:$D$67,2,FALSE)</f>
        <v>Temps de transition</v>
      </c>
      <c r="H30" s="14">
        <v>0</v>
      </c>
      <c r="I30" s="14">
        <v>0</v>
      </c>
      <c r="J30" s="14">
        <v>0</v>
      </c>
      <c r="K30" s="14">
        <v>2</v>
      </c>
      <c r="L30" s="14">
        <v>0</v>
      </c>
      <c r="M30">
        <v>1</v>
      </c>
      <c r="O30" s="13" t="s">
        <v>129</v>
      </c>
      <c r="P30" s="23">
        <v>1728</v>
      </c>
      <c r="AB30" s="13" t="s">
        <v>119</v>
      </c>
      <c r="AC30" s="23">
        <v>1728</v>
      </c>
      <c r="AD30" s="23"/>
      <c r="AE30" s="23">
        <v>1728</v>
      </c>
    </row>
    <row r="31" spans="1:31">
      <c r="B31" s="15">
        <f t="shared" si="1"/>
        <v>41655.375388888875</v>
      </c>
      <c r="C31" s="19">
        <v>432</v>
      </c>
      <c r="D31" s="14">
        <v>213</v>
      </c>
      <c r="E31" s="14">
        <v>1</v>
      </c>
      <c r="F31" t="s">
        <v>74</v>
      </c>
      <c r="G31" t="str">
        <f>VLOOKUP(Tableau1[[#This Row],[ACTIVITE]],Codebook!$C$41:$D$67,2,FALSE)</f>
        <v>Viste médicale</v>
      </c>
      <c r="H31" s="14">
        <v>0</v>
      </c>
      <c r="I31" s="14">
        <v>1</v>
      </c>
      <c r="J31" s="14">
        <v>0</v>
      </c>
      <c r="K31" s="14">
        <v>1</v>
      </c>
      <c r="L31" s="14">
        <v>0</v>
      </c>
      <c r="M31">
        <v>5</v>
      </c>
      <c r="O31" s="13" t="s">
        <v>100</v>
      </c>
      <c r="P31" s="23">
        <v>259</v>
      </c>
      <c r="AB31" s="13" t="s">
        <v>127</v>
      </c>
      <c r="AC31" s="23">
        <v>2765</v>
      </c>
      <c r="AD31" s="23"/>
      <c r="AE31" s="23">
        <v>2765</v>
      </c>
    </row>
    <row r="32" spans="1:31">
      <c r="B32" s="15">
        <f t="shared" si="1"/>
        <v>41655.380388888872</v>
      </c>
      <c r="C32" s="19">
        <v>605</v>
      </c>
      <c r="D32" s="14">
        <v>213</v>
      </c>
      <c r="E32" s="14">
        <v>1</v>
      </c>
      <c r="F32" t="s">
        <v>74</v>
      </c>
      <c r="G32" t="str">
        <f>VLOOKUP(Tableau1[[#This Row],[ACTIVITE]],Codebook!$C$41:$D$67,2,FALSE)</f>
        <v>Viste médicale</v>
      </c>
      <c r="H32" s="14">
        <v>1</v>
      </c>
      <c r="I32" s="14">
        <v>1</v>
      </c>
      <c r="J32" s="14">
        <v>0</v>
      </c>
      <c r="K32" s="14">
        <v>1</v>
      </c>
      <c r="L32" s="14">
        <v>0</v>
      </c>
      <c r="M32">
        <v>7</v>
      </c>
      <c r="O32" s="13" t="s">
        <v>119</v>
      </c>
      <c r="P32" s="23">
        <v>1728</v>
      </c>
      <c r="AB32" s="13" t="s">
        <v>96</v>
      </c>
      <c r="AC32" s="23">
        <v>5222</v>
      </c>
      <c r="AD32" s="23"/>
      <c r="AE32" s="23">
        <v>5222</v>
      </c>
    </row>
    <row r="33" spans="2:31">
      <c r="B33" s="15">
        <f t="shared" si="1"/>
        <v>41655.38738888887</v>
      </c>
      <c r="C33" s="19">
        <v>605</v>
      </c>
      <c r="D33" s="14">
        <v>213</v>
      </c>
      <c r="E33" s="14">
        <v>1</v>
      </c>
      <c r="F33" t="s">
        <v>74</v>
      </c>
      <c r="G33" t="str">
        <f>VLOOKUP(Tableau1[[#This Row],[ACTIVITE]],Codebook!$C$41:$D$67,2,FALSE)</f>
        <v>Viste médicale</v>
      </c>
      <c r="H33" s="14">
        <v>1</v>
      </c>
      <c r="I33" s="14">
        <v>0</v>
      </c>
      <c r="J33" s="14">
        <v>0</v>
      </c>
      <c r="K33" s="14">
        <v>1</v>
      </c>
      <c r="L33" s="14">
        <v>0</v>
      </c>
      <c r="M33">
        <v>7</v>
      </c>
      <c r="O33" s="13" t="s">
        <v>201</v>
      </c>
      <c r="P33" s="23">
        <v>1987</v>
      </c>
      <c r="AB33" s="13" t="s">
        <v>129</v>
      </c>
      <c r="AC33" s="23">
        <v>1728</v>
      </c>
      <c r="AD33" s="23"/>
      <c r="AE33" s="23">
        <v>1728</v>
      </c>
    </row>
    <row r="34" spans="2:31">
      <c r="B34" s="15">
        <f t="shared" si="1"/>
        <v>41655.394388888868</v>
      </c>
      <c r="C34" s="19">
        <v>864</v>
      </c>
      <c r="D34" s="14">
        <v>213</v>
      </c>
      <c r="E34" s="14">
        <v>1</v>
      </c>
      <c r="F34" t="s">
        <v>74</v>
      </c>
      <c r="G34" t="str">
        <f>VLOOKUP(Tableau1[[#This Row],[ACTIVITE]],Codebook!$C$41:$D$67,2,FALSE)</f>
        <v>Viste médicale</v>
      </c>
      <c r="H34" s="14">
        <v>1</v>
      </c>
      <c r="I34" s="14">
        <v>0</v>
      </c>
      <c r="J34" s="14">
        <v>0</v>
      </c>
      <c r="K34" s="14">
        <v>0</v>
      </c>
      <c r="L34" s="14">
        <v>0</v>
      </c>
      <c r="M34">
        <v>10</v>
      </c>
      <c r="O34" s="13" t="s">
        <v>195</v>
      </c>
      <c r="P34" s="23">
        <v>3894</v>
      </c>
      <c r="AB34" s="13" t="s">
        <v>201</v>
      </c>
      <c r="AC34" s="23">
        <v>1987</v>
      </c>
      <c r="AD34" s="23"/>
      <c r="AE34" s="23">
        <v>1987</v>
      </c>
    </row>
    <row r="35" spans="2:31">
      <c r="B35" s="15">
        <f t="shared" si="1"/>
        <v>41655.40438888887</v>
      </c>
      <c r="C35" s="19">
        <v>173</v>
      </c>
      <c r="D35" s="14">
        <v>213</v>
      </c>
      <c r="E35" s="14">
        <v>1</v>
      </c>
      <c r="F35" t="s">
        <v>74</v>
      </c>
      <c r="G35" t="str">
        <f>VLOOKUP(Tableau1[[#This Row],[ACTIVITE]],Codebook!$C$41:$D$67,2,FALSE)</f>
        <v>Viste médicale</v>
      </c>
      <c r="H35" s="14">
        <v>0</v>
      </c>
      <c r="I35" s="14">
        <v>1</v>
      </c>
      <c r="J35" s="14">
        <v>0</v>
      </c>
      <c r="K35" s="14">
        <v>1</v>
      </c>
      <c r="L35" s="14">
        <v>0</v>
      </c>
      <c r="M35">
        <v>2</v>
      </c>
      <c r="O35" s="13" t="s">
        <v>200</v>
      </c>
      <c r="P35" s="23">
        <v>2765</v>
      </c>
      <c r="AB35" s="13" t="s">
        <v>195</v>
      </c>
      <c r="AC35" s="23">
        <v>3894</v>
      </c>
      <c r="AD35" s="23"/>
      <c r="AE35" s="23">
        <v>3894</v>
      </c>
    </row>
    <row r="36" spans="2:31">
      <c r="B36" s="15">
        <f t="shared" si="1"/>
        <v>41655.40638888887</v>
      </c>
      <c r="C36" s="19">
        <v>1728</v>
      </c>
      <c r="D36" s="14">
        <v>213</v>
      </c>
      <c r="E36" s="14">
        <v>1</v>
      </c>
      <c r="F36" t="s">
        <v>195</v>
      </c>
      <c r="G36" t="str">
        <f>VLOOKUP(Tableau1[[#This Row],[ACTIVITE]],Codebook!$C$41:$D$67,2,FALSE)</f>
        <v>Contact avec collaborateur concernant un patient</v>
      </c>
      <c r="H36" s="14">
        <v>0</v>
      </c>
      <c r="I36" s="14">
        <v>0</v>
      </c>
      <c r="J36" s="14">
        <v>1</v>
      </c>
      <c r="K36" s="14">
        <v>1</v>
      </c>
      <c r="L36" s="14">
        <v>0</v>
      </c>
      <c r="M36">
        <v>20</v>
      </c>
      <c r="O36" s="13" t="s">
        <v>209</v>
      </c>
      <c r="P36" s="23">
        <v>1758</v>
      </c>
      <c r="AB36" s="13" t="s">
        <v>200</v>
      </c>
      <c r="AC36" s="23"/>
      <c r="AD36" s="23">
        <v>2765</v>
      </c>
      <c r="AE36" s="23">
        <v>2765</v>
      </c>
    </row>
    <row r="37" spans="2:31">
      <c r="B37" s="15">
        <f t="shared" si="1"/>
        <v>41655.426388888867</v>
      </c>
      <c r="C37" s="19">
        <v>432</v>
      </c>
      <c r="D37" s="14">
        <v>213</v>
      </c>
      <c r="E37" s="14">
        <v>1</v>
      </c>
      <c r="F37" t="s">
        <v>195</v>
      </c>
      <c r="G37" t="str">
        <f>VLOOKUP(Tableau1[[#This Row],[ACTIVITE]],Codebook!$C$41:$D$67,2,FALSE)</f>
        <v>Contact avec collaborateur concernant un patient</v>
      </c>
      <c r="H37" s="14">
        <v>0</v>
      </c>
      <c r="I37" s="14">
        <v>1</v>
      </c>
      <c r="J37" s="14">
        <v>1</v>
      </c>
      <c r="K37" s="14">
        <v>1</v>
      </c>
      <c r="L37" s="14">
        <v>0</v>
      </c>
      <c r="M37">
        <v>5</v>
      </c>
      <c r="O37" s="13" t="s">
        <v>213</v>
      </c>
      <c r="P37" s="23">
        <v>122798</v>
      </c>
      <c r="AB37" s="13" t="s">
        <v>209</v>
      </c>
      <c r="AC37" s="23">
        <v>1758</v>
      </c>
      <c r="AD37" s="23"/>
      <c r="AE37" s="23">
        <v>1758</v>
      </c>
    </row>
    <row r="38" spans="2:31">
      <c r="B38" s="15">
        <f t="shared" si="1"/>
        <v>41655.431388888865</v>
      </c>
      <c r="C38" s="19">
        <v>864</v>
      </c>
      <c r="D38" s="14">
        <v>213</v>
      </c>
      <c r="E38" s="14">
        <v>1</v>
      </c>
      <c r="F38" t="s">
        <v>74</v>
      </c>
      <c r="G38" t="str">
        <f>VLOOKUP(Tableau1[[#This Row],[ACTIVITE]],Codebook!$C$41:$D$67,2,FALSE)</f>
        <v>Viste médicale</v>
      </c>
      <c r="H38" s="14">
        <v>1</v>
      </c>
      <c r="I38" s="14">
        <v>1</v>
      </c>
      <c r="J38" s="14">
        <v>0</v>
      </c>
      <c r="K38" s="14">
        <v>1</v>
      </c>
      <c r="L38" s="14">
        <v>0</v>
      </c>
      <c r="M38">
        <v>10</v>
      </c>
      <c r="AB38" s="13" t="s">
        <v>213</v>
      </c>
      <c r="AC38" s="23">
        <v>97361</v>
      </c>
      <c r="AD38" s="23">
        <v>25437</v>
      </c>
      <c r="AE38" s="23">
        <v>122798</v>
      </c>
    </row>
    <row r="39" spans="2:31">
      <c r="B39" s="15">
        <f t="shared" si="1"/>
        <v>41655.441388888867</v>
      </c>
      <c r="C39" s="19">
        <v>173</v>
      </c>
      <c r="D39" s="14">
        <v>213</v>
      </c>
      <c r="E39" s="14">
        <v>1</v>
      </c>
      <c r="F39" t="s">
        <v>200</v>
      </c>
      <c r="G39" t="str">
        <f>VLOOKUP(Tableau1[[#This Row],[ACTIVITE]],Codebook!$C$41:$D$67,2,FALSE)</f>
        <v>Formation donnée</v>
      </c>
      <c r="H39" s="14">
        <v>1</v>
      </c>
      <c r="I39" s="14">
        <v>1</v>
      </c>
      <c r="J39" s="14">
        <v>0</v>
      </c>
      <c r="K39" s="14">
        <v>1</v>
      </c>
      <c r="L39" s="14">
        <v>0</v>
      </c>
      <c r="M39">
        <v>2</v>
      </c>
    </row>
    <row r="40" spans="2:31">
      <c r="B40" s="15">
        <f t="shared" si="1"/>
        <v>41655.443388888867</v>
      </c>
      <c r="C40" s="19">
        <v>864</v>
      </c>
      <c r="D40" s="14">
        <v>213</v>
      </c>
      <c r="E40" s="14">
        <v>1</v>
      </c>
      <c r="F40" t="s">
        <v>200</v>
      </c>
      <c r="G40" t="str">
        <f>VLOOKUP(Tableau1[[#This Row],[ACTIVITE]],Codebook!$C$41:$D$67,2,FALSE)</f>
        <v>Formation donnée</v>
      </c>
      <c r="H40" s="14">
        <v>1</v>
      </c>
      <c r="I40" s="14">
        <v>0</v>
      </c>
      <c r="J40" s="14">
        <v>0</v>
      </c>
      <c r="K40" s="14">
        <v>2</v>
      </c>
      <c r="L40" s="14">
        <v>0</v>
      </c>
      <c r="M40">
        <v>10</v>
      </c>
    </row>
    <row r="41" spans="2:31">
      <c r="B41" s="15">
        <f t="shared" si="1"/>
        <v>41655.453388888869</v>
      </c>
      <c r="C41" s="19">
        <v>605</v>
      </c>
      <c r="D41" s="14">
        <v>213</v>
      </c>
      <c r="E41" s="14">
        <v>1</v>
      </c>
      <c r="F41" t="s">
        <v>195</v>
      </c>
      <c r="G41" t="str">
        <f>VLOOKUP(Tableau1[[#This Row],[ACTIVITE]],Codebook!$C$41:$D$67,2,FALSE)</f>
        <v>Contact avec collaborateur concernant un patient</v>
      </c>
      <c r="H41" s="14">
        <v>0</v>
      </c>
      <c r="I41" s="14">
        <v>0</v>
      </c>
      <c r="J41" s="14">
        <v>1</v>
      </c>
      <c r="K41" s="14">
        <v>1</v>
      </c>
      <c r="L41" s="14">
        <v>0</v>
      </c>
      <c r="M41">
        <v>7</v>
      </c>
    </row>
    <row r="42" spans="2:31">
      <c r="B42" s="15">
        <f t="shared" si="1"/>
        <v>41655.460388888867</v>
      </c>
      <c r="C42" s="19">
        <v>605</v>
      </c>
      <c r="D42" s="14">
        <v>213</v>
      </c>
      <c r="E42" s="14">
        <v>1</v>
      </c>
      <c r="F42" t="s">
        <v>200</v>
      </c>
      <c r="G42" t="str">
        <f>VLOOKUP(Tableau1[[#This Row],[ACTIVITE]],Codebook!$C$41:$D$67,2,FALSE)</f>
        <v>Formation donnée</v>
      </c>
      <c r="H42" s="14">
        <v>1</v>
      </c>
      <c r="I42" s="14">
        <v>0</v>
      </c>
      <c r="J42" s="14">
        <v>0</v>
      </c>
      <c r="K42" s="14">
        <v>2</v>
      </c>
      <c r="L42" s="14">
        <v>0</v>
      </c>
      <c r="M42">
        <v>7</v>
      </c>
      <c r="O42" s="22" t="s">
        <v>147</v>
      </c>
    </row>
    <row r="43" spans="2:31">
      <c r="B43" s="15">
        <f t="shared" si="1"/>
        <v>41655.467388888865</v>
      </c>
      <c r="C43" s="19">
        <v>259</v>
      </c>
      <c r="D43" s="14">
        <v>213</v>
      </c>
      <c r="E43" s="14">
        <v>1</v>
      </c>
      <c r="F43" t="s">
        <v>200</v>
      </c>
      <c r="G43" t="str">
        <f>VLOOKUP(Tableau1[[#This Row],[ACTIVITE]],Codebook!$C$41:$D$67,2,FALSE)</f>
        <v>Formation donnée</v>
      </c>
      <c r="H43" s="14">
        <v>1</v>
      </c>
      <c r="I43" s="14">
        <v>1</v>
      </c>
      <c r="J43" s="14">
        <v>0</v>
      </c>
      <c r="K43" s="14">
        <v>2</v>
      </c>
      <c r="L43" s="14">
        <v>0</v>
      </c>
      <c r="M43">
        <v>3</v>
      </c>
      <c r="O43" s="22" t="s">
        <v>145</v>
      </c>
      <c r="P43" t="s">
        <v>146</v>
      </c>
    </row>
    <row r="44" spans="2:31">
      <c r="B44" s="15">
        <f t="shared" si="1"/>
        <v>41655.470388888862</v>
      </c>
      <c r="C44" s="19">
        <v>864</v>
      </c>
      <c r="D44" s="14">
        <v>213</v>
      </c>
      <c r="E44" s="14">
        <v>1</v>
      </c>
      <c r="F44" t="s">
        <v>200</v>
      </c>
      <c r="G44" t="str">
        <f>VLOOKUP(Tableau1[[#This Row],[ACTIVITE]],Codebook!$C$41:$D$67,2,FALSE)</f>
        <v>Formation donnée</v>
      </c>
      <c r="H44" s="14">
        <v>1</v>
      </c>
      <c r="I44" s="14">
        <v>0</v>
      </c>
      <c r="J44" s="14">
        <v>0</v>
      </c>
      <c r="K44" s="14">
        <v>2</v>
      </c>
      <c r="L44" s="14">
        <v>0</v>
      </c>
      <c r="M44">
        <v>10</v>
      </c>
      <c r="O44" s="13">
        <v>0</v>
      </c>
      <c r="P44" s="23">
        <v>35095</v>
      </c>
      <c r="AD44" s="24" t="s">
        <v>150</v>
      </c>
      <c r="AE44">
        <f>AD41/3600</f>
        <v>0</v>
      </c>
    </row>
    <row r="45" spans="2:31">
      <c r="B45" s="15">
        <f t="shared" si="1"/>
        <v>41655.480388888864</v>
      </c>
      <c r="C45" s="19">
        <v>86</v>
      </c>
      <c r="D45" s="14">
        <v>213</v>
      </c>
      <c r="E45" s="14">
        <v>1</v>
      </c>
      <c r="F45" t="s">
        <v>96</v>
      </c>
      <c r="G45" t="str">
        <f>VLOOKUP(Tableau1[[#This Row],[ACTIVITE]],Codebook!$C$41:$D$67,2,FALSE)</f>
        <v>Temps de transition</v>
      </c>
      <c r="H45" s="14">
        <v>0</v>
      </c>
      <c r="I45" s="14">
        <v>0</v>
      </c>
      <c r="J45" s="14">
        <v>0</v>
      </c>
      <c r="K45" s="14">
        <v>0</v>
      </c>
      <c r="L45" s="14">
        <v>0</v>
      </c>
      <c r="M45">
        <v>1</v>
      </c>
      <c r="O45" s="13">
        <v>1</v>
      </c>
      <c r="P45" s="23">
        <v>87703</v>
      </c>
    </row>
    <row r="46" spans="2:31">
      <c r="B46" s="15">
        <f t="shared" si="1"/>
        <v>41655.48138888886</v>
      </c>
      <c r="C46" s="19">
        <v>1728</v>
      </c>
      <c r="D46" s="14">
        <v>213</v>
      </c>
      <c r="E46" s="14">
        <v>1</v>
      </c>
      <c r="F46" t="s">
        <v>74</v>
      </c>
      <c r="G46" t="str">
        <f>VLOOKUP(Tableau1[[#This Row],[ACTIVITE]],Codebook!$C$41:$D$67,2,FALSE)</f>
        <v>Viste médicale</v>
      </c>
      <c r="H46" s="14">
        <v>1</v>
      </c>
      <c r="I46" s="14">
        <v>1</v>
      </c>
      <c r="J46" s="14">
        <v>0</v>
      </c>
      <c r="K46" s="14">
        <v>1</v>
      </c>
      <c r="L46" s="14">
        <v>0</v>
      </c>
      <c r="M46">
        <v>20</v>
      </c>
      <c r="O46" s="13" t="s">
        <v>213</v>
      </c>
      <c r="P46" s="23">
        <v>122798</v>
      </c>
    </row>
    <row r="47" spans="2:31">
      <c r="B47" s="15">
        <f t="shared" si="1"/>
        <v>41655.501388888857</v>
      </c>
      <c r="C47" s="19">
        <v>259</v>
      </c>
      <c r="D47" s="14">
        <v>213</v>
      </c>
      <c r="E47" s="14">
        <v>1</v>
      </c>
      <c r="F47" t="s">
        <v>96</v>
      </c>
      <c r="G47" t="str">
        <f>VLOOKUP(Tableau1[[#This Row],[ACTIVITE]],Codebook!$C$41:$D$67,2,FALSE)</f>
        <v>Temps de transition</v>
      </c>
      <c r="H47" s="14">
        <v>0</v>
      </c>
      <c r="I47" s="14">
        <v>0</v>
      </c>
      <c r="J47" s="14">
        <v>0</v>
      </c>
      <c r="K47" s="14">
        <v>0</v>
      </c>
      <c r="L47" s="14">
        <v>0</v>
      </c>
      <c r="M47">
        <v>3</v>
      </c>
    </row>
    <row r="48" spans="2:31">
      <c r="B48" s="15">
        <f t="shared" si="1"/>
        <v>41655.504388888854</v>
      </c>
      <c r="C48" s="19">
        <v>2592</v>
      </c>
      <c r="D48" s="14">
        <v>213</v>
      </c>
      <c r="E48" s="14">
        <v>1</v>
      </c>
      <c r="F48" t="s">
        <v>124</v>
      </c>
      <c r="G48" t="str">
        <f>VLOOKUP(Tableau1[[#This Row],[ACTIVITE]],Codebook!$C$41:$D$67,2,FALSE)</f>
        <v>Rédaction dans le dossier du patient</v>
      </c>
      <c r="H48" s="14">
        <v>0</v>
      </c>
      <c r="I48" s="14">
        <v>1</v>
      </c>
      <c r="J48" s="14">
        <v>0</v>
      </c>
      <c r="K48" s="14">
        <v>0</v>
      </c>
      <c r="L48" s="14">
        <v>0</v>
      </c>
      <c r="M48">
        <v>30</v>
      </c>
    </row>
    <row r="49" spans="2:24">
      <c r="B49" s="15">
        <f t="shared" si="1"/>
        <v>41655.534388888853</v>
      </c>
      <c r="C49" s="19">
        <v>173</v>
      </c>
      <c r="D49" s="14">
        <v>213</v>
      </c>
      <c r="E49" s="14">
        <v>1</v>
      </c>
      <c r="F49" t="s">
        <v>96</v>
      </c>
      <c r="G49" t="str">
        <f>VLOOKUP(Tableau1[[#This Row],[ACTIVITE]],Codebook!$C$41:$D$67,2,FALSE)</f>
        <v>Temps de transition</v>
      </c>
      <c r="H49" s="14">
        <v>0</v>
      </c>
      <c r="I49" s="14">
        <v>0</v>
      </c>
      <c r="J49" s="14">
        <v>0</v>
      </c>
      <c r="K49" s="14">
        <v>2</v>
      </c>
      <c r="L49" s="14">
        <v>0</v>
      </c>
      <c r="M49">
        <v>2</v>
      </c>
    </row>
    <row r="50" spans="2:24">
      <c r="B50" s="15">
        <f t="shared" si="1"/>
        <v>41655.536388888853</v>
      </c>
      <c r="C50" s="19">
        <v>864</v>
      </c>
      <c r="D50" s="14">
        <v>213</v>
      </c>
      <c r="E50" s="14">
        <v>1</v>
      </c>
      <c r="F50" t="s">
        <v>119</v>
      </c>
      <c r="G50" t="str">
        <f>VLOOKUP(Tableau1[[#This Row],[ACTIVITE]],Codebook!$C$41:$D$67,2,FALSE)</f>
        <v>Activités personnelles</v>
      </c>
      <c r="H50" s="14">
        <v>0</v>
      </c>
      <c r="I50" s="14">
        <v>0</v>
      </c>
      <c r="J50" s="14">
        <v>0</v>
      </c>
      <c r="K50" s="14">
        <v>2</v>
      </c>
      <c r="L50" s="14">
        <v>0</v>
      </c>
      <c r="M50">
        <v>10</v>
      </c>
      <c r="O50" t="s">
        <v>183</v>
      </c>
      <c r="P50">
        <f>GETPIVOTDATA("DUREE",$O$21)/3600</f>
        <v>34.110555555555557</v>
      </c>
    </row>
    <row r="51" spans="2:24">
      <c r="B51" s="15">
        <f t="shared" si="1"/>
        <v>41655.546388888855</v>
      </c>
      <c r="C51" s="19">
        <v>1728</v>
      </c>
      <c r="D51" s="14">
        <v>213</v>
      </c>
      <c r="E51" s="14">
        <v>2</v>
      </c>
      <c r="F51" t="s">
        <v>96</v>
      </c>
      <c r="G51" t="str">
        <f>VLOOKUP(Tableau1[[#This Row],[ACTIVITE]],Codebook!$C$41:$D$67,2,FALSE)</f>
        <v>Temps de transition</v>
      </c>
      <c r="H51" s="14">
        <v>0</v>
      </c>
      <c r="I51" s="14">
        <v>0</v>
      </c>
      <c r="J51" s="14">
        <v>0</v>
      </c>
      <c r="K51" s="14">
        <v>1</v>
      </c>
      <c r="L51" s="14">
        <v>0</v>
      </c>
      <c r="M51">
        <v>20</v>
      </c>
    </row>
    <row r="52" spans="2:24">
      <c r="B52" s="15">
        <f t="shared" si="1"/>
        <v>41655.566388888852</v>
      </c>
      <c r="C52" s="19">
        <v>259</v>
      </c>
      <c r="D52" s="14">
        <v>213</v>
      </c>
      <c r="E52" s="14">
        <v>2</v>
      </c>
      <c r="F52" t="s">
        <v>201</v>
      </c>
      <c r="G52" t="str">
        <f>VLOOKUP(Tableau1[[#This Row],[ACTIVITE]],Codebook!$C$41:$D$67,2,FALSE)</f>
        <v>Formation</v>
      </c>
      <c r="H52" s="14">
        <v>0</v>
      </c>
      <c r="I52" s="14">
        <v>1</v>
      </c>
      <c r="J52" s="14">
        <v>0</v>
      </c>
      <c r="K52" s="14">
        <v>0</v>
      </c>
      <c r="L52" s="14">
        <v>0</v>
      </c>
      <c r="M52">
        <v>3</v>
      </c>
    </row>
    <row r="53" spans="2:24">
      <c r="B53" s="15">
        <f t="shared" si="1"/>
        <v>41655.569388888849</v>
      </c>
      <c r="C53" s="19">
        <v>605</v>
      </c>
      <c r="D53" s="14">
        <v>213</v>
      </c>
      <c r="E53" s="14">
        <v>2</v>
      </c>
      <c r="F53" t="s">
        <v>127</v>
      </c>
      <c r="G53" t="str">
        <f>VLOOKUP(Tableau1[[#This Row],[ACTIVITE]],Codebook!$C$41:$D$67,2,FALSE)</f>
        <v>Supervision</v>
      </c>
      <c r="H53" s="14">
        <v>0</v>
      </c>
      <c r="I53" s="14">
        <v>1</v>
      </c>
      <c r="J53" s="14">
        <v>0</v>
      </c>
      <c r="K53" s="14">
        <v>1</v>
      </c>
      <c r="L53" s="14">
        <v>0</v>
      </c>
      <c r="M53">
        <v>7</v>
      </c>
    </row>
    <row r="54" spans="2:24">
      <c r="B54" s="15">
        <f t="shared" si="1"/>
        <v>41655.576388888847</v>
      </c>
      <c r="C54" s="19">
        <v>173</v>
      </c>
      <c r="D54" s="14">
        <v>213</v>
      </c>
      <c r="E54" s="14">
        <v>2</v>
      </c>
      <c r="F54" t="s">
        <v>127</v>
      </c>
      <c r="G54" t="str">
        <f>VLOOKUP(Tableau1[[#This Row],[ACTIVITE]],Codebook!$C$41:$D$67,2,FALSE)</f>
        <v>Supervision</v>
      </c>
      <c r="H54" s="14">
        <v>0</v>
      </c>
      <c r="I54" s="14">
        <v>0</v>
      </c>
      <c r="J54" s="14">
        <v>0</v>
      </c>
      <c r="K54" s="14">
        <v>1</v>
      </c>
      <c r="L54" s="14">
        <v>0</v>
      </c>
      <c r="M54">
        <v>2</v>
      </c>
    </row>
    <row r="55" spans="2:24">
      <c r="B55" s="15">
        <f t="shared" si="1"/>
        <v>41655.578388888847</v>
      </c>
      <c r="C55" s="19">
        <v>259</v>
      </c>
      <c r="D55" s="14">
        <v>213</v>
      </c>
      <c r="E55" s="14">
        <v>2</v>
      </c>
      <c r="F55" t="s">
        <v>127</v>
      </c>
      <c r="G55" t="str">
        <f>VLOOKUP(Tableau1[[#This Row],[ACTIVITE]],Codebook!$C$41:$D$67,2,FALSE)</f>
        <v>Supervision</v>
      </c>
      <c r="H55" s="14">
        <v>0</v>
      </c>
      <c r="I55" s="14">
        <v>1</v>
      </c>
      <c r="J55" s="14">
        <v>0</v>
      </c>
      <c r="K55" s="14">
        <v>1</v>
      </c>
      <c r="L55" s="14">
        <v>0</v>
      </c>
      <c r="M55">
        <v>3</v>
      </c>
    </row>
    <row r="56" spans="2:24">
      <c r="B56" s="15">
        <f t="shared" si="1"/>
        <v>41655.581388888844</v>
      </c>
      <c r="C56" s="19">
        <v>1296</v>
      </c>
      <c r="D56" s="14">
        <v>213</v>
      </c>
      <c r="E56" s="14">
        <v>2</v>
      </c>
      <c r="F56" t="s">
        <v>96</v>
      </c>
      <c r="G56" t="str">
        <f>VLOOKUP(Tableau1[[#This Row],[ACTIVITE]],Codebook!$C$41:$D$67,2,FALSE)</f>
        <v>Temps de transition</v>
      </c>
      <c r="H56" s="14">
        <v>0</v>
      </c>
      <c r="I56" s="14">
        <v>0</v>
      </c>
      <c r="J56" s="14">
        <v>0</v>
      </c>
      <c r="K56" s="14">
        <v>0</v>
      </c>
      <c r="L56" s="14">
        <v>0</v>
      </c>
      <c r="M56">
        <v>15</v>
      </c>
    </row>
    <row r="57" spans="2:24">
      <c r="B57" s="15">
        <f t="shared" si="1"/>
        <v>41655.596388888844</v>
      </c>
      <c r="C57" s="19">
        <v>259</v>
      </c>
      <c r="D57" s="14">
        <v>213</v>
      </c>
      <c r="E57" s="14">
        <v>2</v>
      </c>
      <c r="F57" t="s">
        <v>53</v>
      </c>
      <c r="G57" t="str">
        <f>VLOOKUP(Tableau1[[#This Row],[ACTIVITE]],Codebook!$C$41:$D$67,2,FALSE)</f>
        <v>Entrée médicale</v>
      </c>
      <c r="H57" s="14">
        <v>0</v>
      </c>
      <c r="I57" s="14">
        <v>0</v>
      </c>
      <c r="J57" s="14">
        <v>0</v>
      </c>
      <c r="K57" s="14">
        <v>0</v>
      </c>
      <c r="L57" s="14">
        <v>0</v>
      </c>
      <c r="M57">
        <v>3</v>
      </c>
    </row>
    <row r="58" spans="2:24">
      <c r="B58" s="15">
        <f t="shared" si="1"/>
        <v>41655.599388888841</v>
      </c>
      <c r="C58" s="19">
        <v>86</v>
      </c>
      <c r="D58" s="14">
        <v>213</v>
      </c>
      <c r="E58" s="14">
        <v>2</v>
      </c>
      <c r="F58" t="s">
        <v>53</v>
      </c>
      <c r="G58" t="str">
        <f>VLOOKUP(Tableau1[[#This Row],[ACTIVITE]],Codebook!$C$41:$D$67,2,FALSE)</f>
        <v>Entrée médicale</v>
      </c>
      <c r="H58" s="14">
        <v>1</v>
      </c>
      <c r="I58" s="14">
        <v>0</v>
      </c>
      <c r="J58" s="14">
        <v>0</v>
      </c>
      <c r="K58" s="14">
        <v>0</v>
      </c>
      <c r="L58" s="14">
        <v>0</v>
      </c>
      <c r="M58">
        <v>1</v>
      </c>
    </row>
    <row r="59" spans="2:24">
      <c r="B59" s="15">
        <f t="shared" si="1"/>
        <v>41655.600388888837</v>
      </c>
      <c r="C59" s="19">
        <v>864</v>
      </c>
      <c r="D59" s="14">
        <v>213</v>
      </c>
      <c r="E59" s="14">
        <v>2</v>
      </c>
      <c r="F59" t="s">
        <v>119</v>
      </c>
      <c r="G59" t="str">
        <f>VLOOKUP(Tableau1[[#This Row],[ACTIVITE]],Codebook!$C$41:$D$67,2,FALSE)</f>
        <v>Activités personnelles</v>
      </c>
      <c r="H59" s="14">
        <v>0</v>
      </c>
      <c r="I59" s="14">
        <v>0</v>
      </c>
      <c r="J59" s="14">
        <v>0</v>
      </c>
      <c r="K59" s="14">
        <v>0</v>
      </c>
      <c r="L59" s="14">
        <v>0</v>
      </c>
      <c r="M59">
        <v>10</v>
      </c>
    </row>
    <row r="60" spans="2:24">
      <c r="B60" s="15">
        <f t="shared" si="1"/>
        <v>41655.610388888839</v>
      </c>
      <c r="C60" s="19">
        <v>259</v>
      </c>
      <c r="D60" s="14">
        <v>213</v>
      </c>
      <c r="E60" s="14">
        <v>2</v>
      </c>
      <c r="F60" t="s">
        <v>96</v>
      </c>
      <c r="G60" t="str">
        <f>VLOOKUP(Tableau1[[#This Row],[ACTIVITE]],Codebook!$C$41:$D$67,2,FALSE)</f>
        <v>Temps de transition</v>
      </c>
      <c r="H60" s="14">
        <v>0</v>
      </c>
      <c r="I60" s="14">
        <v>0</v>
      </c>
      <c r="J60" s="14">
        <v>0</v>
      </c>
      <c r="K60" s="14">
        <v>0</v>
      </c>
      <c r="L60" s="14">
        <v>0</v>
      </c>
      <c r="M60">
        <v>3</v>
      </c>
    </row>
    <row r="61" spans="2:24">
      <c r="B61" s="15">
        <f t="shared" si="1"/>
        <v>41655.613388888836</v>
      </c>
      <c r="C61" s="19">
        <v>2592</v>
      </c>
      <c r="D61" s="14">
        <v>213</v>
      </c>
      <c r="E61" s="14">
        <v>2</v>
      </c>
      <c r="F61" t="s">
        <v>124</v>
      </c>
      <c r="G61" t="str">
        <f>VLOOKUP(Tableau1[[#This Row],[ACTIVITE]],Codebook!$C$41:$D$67,2,FALSE)</f>
        <v>Rédaction dans le dossier du patient</v>
      </c>
      <c r="H61" s="14">
        <v>0</v>
      </c>
      <c r="I61" s="14">
        <v>1</v>
      </c>
      <c r="J61" s="14">
        <v>0</v>
      </c>
      <c r="K61" s="14">
        <v>0</v>
      </c>
      <c r="L61" s="14">
        <v>0</v>
      </c>
      <c r="M61">
        <v>30</v>
      </c>
      <c r="O61" s="22" t="s">
        <v>147</v>
      </c>
      <c r="U61" s="14"/>
      <c r="V61" s="14"/>
      <c r="W61" s="14"/>
      <c r="X61" s="14"/>
    </row>
    <row r="62" spans="2:24">
      <c r="B62" s="15">
        <f t="shared" si="1"/>
        <v>41655.643388888835</v>
      </c>
      <c r="C62" s="19">
        <v>1728</v>
      </c>
      <c r="D62" s="14">
        <v>213</v>
      </c>
      <c r="E62" s="14">
        <v>2</v>
      </c>
      <c r="F62" t="s">
        <v>209</v>
      </c>
      <c r="G62" t="str">
        <f>VLOOKUP(Tableau1[[#This Row],[ACTIVITE]],Codebook!$C$41:$D$67,2,FALSE)</f>
        <v>Recherche d'information</v>
      </c>
      <c r="H62" s="14">
        <v>0</v>
      </c>
      <c r="I62" s="14">
        <v>1</v>
      </c>
      <c r="J62" s="14">
        <v>0</v>
      </c>
      <c r="K62" s="14">
        <v>0</v>
      </c>
      <c r="L62" s="14">
        <v>0</v>
      </c>
      <c r="M62">
        <v>20</v>
      </c>
      <c r="O62" s="22" t="s">
        <v>145</v>
      </c>
      <c r="P62" t="s">
        <v>146</v>
      </c>
      <c r="U62" s="14"/>
      <c r="V62" s="14"/>
      <c r="W62" s="14"/>
      <c r="X62" s="14"/>
    </row>
    <row r="63" spans="2:24">
      <c r="B63" s="15">
        <f t="shared" si="1"/>
        <v>41655.663388888832</v>
      </c>
      <c r="C63" s="19">
        <v>864</v>
      </c>
      <c r="D63" s="14">
        <v>213</v>
      </c>
      <c r="E63" s="14">
        <v>2</v>
      </c>
      <c r="F63" t="s">
        <v>124</v>
      </c>
      <c r="G63" t="str">
        <f>VLOOKUP(Tableau1[[#This Row],[ACTIVITE]],Codebook!$C$41:$D$67,2,FALSE)</f>
        <v>Rédaction dans le dossier du patient</v>
      </c>
      <c r="H63" s="14">
        <v>0</v>
      </c>
      <c r="I63" s="14">
        <v>1</v>
      </c>
      <c r="J63" s="14">
        <v>0</v>
      </c>
      <c r="K63" s="14">
        <v>0</v>
      </c>
      <c r="L63" s="14">
        <v>0</v>
      </c>
      <c r="M63">
        <v>10</v>
      </c>
      <c r="O63" s="13">
        <v>0</v>
      </c>
      <c r="P63" s="23">
        <v>97361</v>
      </c>
      <c r="Q63" s="14"/>
      <c r="R63" s="14"/>
      <c r="U63" s="14"/>
      <c r="V63" s="14"/>
      <c r="W63" s="14"/>
      <c r="X63" s="14"/>
    </row>
    <row r="64" spans="2:24">
      <c r="B64" s="15">
        <f t="shared" si="1"/>
        <v>41655.673388888834</v>
      </c>
      <c r="C64" s="19">
        <v>86</v>
      </c>
      <c r="D64" s="14">
        <v>213</v>
      </c>
      <c r="E64" s="14">
        <v>2</v>
      </c>
      <c r="F64" t="s">
        <v>117</v>
      </c>
      <c r="G64" t="str">
        <f>VLOOKUP(Tableau1[[#This Row],[ACTIVITE]],Codebook!$C$41:$D$67,2,FALSE)</f>
        <v>Colloque</v>
      </c>
      <c r="H64" s="14">
        <v>0</v>
      </c>
      <c r="I64" s="14">
        <v>0</v>
      </c>
      <c r="J64" s="14">
        <v>0</v>
      </c>
      <c r="K64" s="14">
        <v>2</v>
      </c>
      <c r="L64" s="14">
        <v>0</v>
      </c>
      <c r="M64">
        <v>1</v>
      </c>
      <c r="O64" s="13">
        <v>1</v>
      </c>
      <c r="P64" s="23">
        <v>25437</v>
      </c>
      <c r="Q64" s="14"/>
      <c r="R64" s="14"/>
      <c r="U64" s="14"/>
      <c r="V64" s="14"/>
      <c r="W64" s="14"/>
      <c r="X64" s="14"/>
    </row>
    <row r="65" spans="2:16">
      <c r="B65" s="15">
        <f t="shared" si="1"/>
        <v>41655.67438888883</v>
      </c>
      <c r="C65" s="19">
        <v>1728</v>
      </c>
      <c r="D65" s="14">
        <v>213</v>
      </c>
      <c r="E65" s="14">
        <v>2</v>
      </c>
      <c r="F65" t="s">
        <v>127</v>
      </c>
      <c r="G65" t="str">
        <f>VLOOKUP(Tableau1[[#This Row],[ACTIVITE]],Codebook!$C$41:$D$67,2,FALSE)</f>
        <v>Supervision</v>
      </c>
      <c r="H65" s="14">
        <v>0</v>
      </c>
      <c r="I65" s="14">
        <v>1</v>
      </c>
      <c r="J65" s="14">
        <v>0</v>
      </c>
      <c r="K65" s="14">
        <v>1</v>
      </c>
      <c r="L65" s="14">
        <v>0</v>
      </c>
      <c r="M65">
        <v>20</v>
      </c>
      <c r="O65" s="13" t="s">
        <v>213</v>
      </c>
      <c r="P65" s="23">
        <v>122798</v>
      </c>
    </row>
    <row r="66" spans="2:16">
      <c r="B66" s="15">
        <f t="shared" si="1"/>
        <v>41655.694388888827</v>
      </c>
      <c r="C66" s="19">
        <v>864</v>
      </c>
      <c r="D66" s="14">
        <v>213</v>
      </c>
      <c r="E66" s="14">
        <v>2</v>
      </c>
      <c r="F66" t="s">
        <v>96</v>
      </c>
      <c r="G66" t="str">
        <f>VLOOKUP(Tableau1[[#This Row],[ACTIVITE]],Codebook!$C$41:$D$67,2,FALSE)</f>
        <v>Temps de transition</v>
      </c>
      <c r="H66" s="14">
        <v>0</v>
      </c>
      <c r="I66" s="14">
        <v>0</v>
      </c>
      <c r="J66" s="14">
        <v>0</v>
      </c>
      <c r="K66" s="14">
        <v>0</v>
      </c>
      <c r="L66" s="14">
        <v>0</v>
      </c>
      <c r="M66">
        <v>10</v>
      </c>
      <c r="O66" s="13"/>
    </row>
    <row r="67" spans="2:16">
      <c r="B67" s="15">
        <f t="shared" si="1"/>
        <v>41655.704388888829</v>
      </c>
      <c r="C67" s="19">
        <v>2592</v>
      </c>
      <c r="D67" s="14">
        <v>213</v>
      </c>
      <c r="E67" s="14">
        <v>2</v>
      </c>
      <c r="F67" t="s">
        <v>74</v>
      </c>
      <c r="G67" t="str">
        <f>VLOOKUP(Tableau1[[#This Row],[ACTIVITE]],Codebook!$C$41:$D$67,2,FALSE)</f>
        <v>Viste médicale</v>
      </c>
      <c r="H67" s="14">
        <v>0</v>
      </c>
      <c r="I67" s="14">
        <v>1</v>
      </c>
      <c r="J67" s="14">
        <v>0</v>
      </c>
      <c r="K67" s="14">
        <v>1</v>
      </c>
      <c r="L67" s="14">
        <v>0</v>
      </c>
      <c r="M67">
        <v>30</v>
      </c>
      <c r="O67" s="13"/>
    </row>
    <row r="68" spans="2:16">
      <c r="B68" s="15">
        <f t="shared" si="1"/>
        <v>41655.734388888828</v>
      </c>
      <c r="C68" s="19">
        <v>1728</v>
      </c>
      <c r="D68" s="14">
        <v>213</v>
      </c>
      <c r="E68" s="14">
        <v>2</v>
      </c>
      <c r="F68" t="s">
        <v>129</v>
      </c>
      <c r="G68" t="str">
        <f>VLOOKUP(Tableau1[[#This Row],[ACTIVITE]],Codebook!$C$41:$D$67,2,FALSE)</f>
        <v>Transmission</v>
      </c>
      <c r="H68" s="14">
        <v>0</v>
      </c>
      <c r="I68" s="14">
        <v>1</v>
      </c>
      <c r="J68" s="14">
        <v>0</v>
      </c>
      <c r="K68" s="14">
        <v>0</v>
      </c>
      <c r="L68" s="14">
        <v>0</v>
      </c>
      <c r="M68">
        <v>20</v>
      </c>
      <c r="O68" s="13"/>
    </row>
    <row r="69" spans="2:16">
      <c r="B69" s="15">
        <v>41655.754388888825</v>
      </c>
      <c r="C69" s="19">
        <v>67805</v>
      </c>
      <c r="D69" s="14">
        <v>213</v>
      </c>
      <c r="E69" s="14">
        <v>2</v>
      </c>
      <c r="F69" t="s">
        <v>101</v>
      </c>
      <c r="G69" t="str">
        <f>VLOOKUP(Tableau1[[#This Row],[ACTIVITE]],Codebook!$C$41:$D$67,2,FALSE)</f>
        <v>Lettre de sortie</v>
      </c>
      <c r="H69" s="14">
        <v>0</v>
      </c>
      <c r="I69" s="14">
        <v>1</v>
      </c>
      <c r="J69" s="14">
        <v>0</v>
      </c>
      <c r="K69" s="14">
        <v>0</v>
      </c>
      <c r="L69" s="14">
        <v>0</v>
      </c>
      <c r="M69">
        <v>5</v>
      </c>
      <c r="O69" s="13"/>
    </row>
    <row r="70" spans="2:16">
      <c r="B70" s="15">
        <v>41991.539171180557</v>
      </c>
      <c r="C70" s="19">
        <v>40</v>
      </c>
      <c r="D70" s="14">
        <v>220</v>
      </c>
      <c r="E70" s="14">
        <v>1</v>
      </c>
      <c r="F70" t="s">
        <v>96</v>
      </c>
      <c r="G70" t="str">
        <f>VLOOKUP(Tableau1[[#This Row],[ACTIVITE]],Codebook!$C$41:$D$67,2,FALSE)</f>
        <v>Temps de transition</v>
      </c>
      <c r="H70" s="14">
        <v>0</v>
      </c>
      <c r="I70" s="14">
        <v>0</v>
      </c>
      <c r="J70" s="14">
        <v>0</v>
      </c>
      <c r="K70" s="14">
        <v>0</v>
      </c>
      <c r="L70" s="14">
        <v>0</v>
      </c>
      <c r="M70">
        <v>0</v>
      </c>
      <c r="O70" s="13"/>
    </row>
    <row r="71" spans="2:16">
      <c r="B71" s="15">
        <v>41991.539632175925</v>
      </c>
      <c r="C71" s="19">
        <v>20</v>
      </c>
      <c r="D71" s="14">
        <v>220</v>
      </c>
      <c r="E71" s="14">
        <v>1</v>
      </c>
      <c r="F71" t="s">
        <v>74</v>
      </c>
      <c r="G71" t="str">
        <f>VLOOKUP(Tableau1[[#This Row],[ACTIVITE]],Codebook!$C$41:$D$67,2,FALSE)</f>
        <v>Viste médicale</v>
      </c>
      <c r="H71" s="14">
        <v>0</v>
      </c>
      <c r="I71" s="14">
        <v>1</v>
      </c>
      <c r="J71" s="14">
        <v>0</v>
      </c>
      <c r="K71" s="14">
        <v>1</v>
      </c>
      <c r="L71" s="14">
        <v>0</v>
      </c>
      <c r="O71" s="13"/>
    </row>
    <row r="72" spans="2:16">
      <c r="B72" s="15">
        <v>41991.539861458332</v>
      </c>
      <c r="C72" s="19">
        <v>17920</v>
      </c>
      <c r="D72" s="14">
        <v>220</v>
      </c>
      <c r="E72" s="14">
        <v>1</v>
      </c>
      <c r="F72" t="s">
        <v>74</v>
      </c>
      <c r="G72" t="s">
        <v>126</v>
      </c>
      <c r="H72" s="14">
        <v>1</v>
      </c>
      <c r="I72" s="14">
        <v>0</v>
      </c>
      <c r="J72" s="14">
        <v>0</v>
      </c>
      <c r="K72" s="14">
        <v>1</v>
      </c>
      <c r="L72" s="14">
        <v>0</v>
      </c>
    </row>
    <row r="73" spans="2:16">
      <c r="B73" s="15">
        <v>41992.747267245373</v>
      </c>
      <c r="C73" s="19">
        <v>6</v>
      </c>
      <c r="D73" s="14">
        <v>220</v>
      </c>
      <c r="E73" s="14">
        <v>1</v>
      </c>
      <c r="F73" t="s">
        <v>209</v>
      </c>
      <c r="G73" s="23" t="s">
        <v>98</v>
      </c>
      <c r="H73" s="14">
        <v>0</v>
      </c>
      <c r="I73" s="14">
        <v>1</v>
      </c>
      <c r="J73" s="14">
        <v>0</v>
      </c>
      <c r="K73" s="14">
        <v>0</v>
      </c>
      <c r="L73" s="14">
        <v>0</v>
      </c>
    </row>
    <row r="74" spans="2:16">
      <c r="B74" s="15">
        <v>41992.747334375003</v>
      </c>
      <c r="C74" s="19">
        <v>24</v>
      </c>
      <c r="D74" s="14">
        <v>220</v>
      </c>
      <c r="E74" s="14">
        <v>1</v>
      </c>
      <c r="F74" t="s">
        <v>209</v>
      </c>
      <c r="G74" s="23" t="s">
        <v>98</v>
      </c>
      <c r="H74" s="14">
        <v>0</v>
      </c>
      <c r="I74" s="14">
        <v>0</v>
      </c>
      <c r="J74" s="14">
        <v>0</v>
      </c>
      <c r="K74" s="14">
        <v>0</v>
      </c>
      <c r="L74" s="14">
        <v>0</v>
      </c>
    </row>
    <row r="75" spans="2:16">
      <c r="B75" s="15">
        <v>41992.747609027778</v>
      </c>
      <c r="C75" s="19">
        <v>6</v>
      </c>
      <c r="D75" s="14">
        <v>220</v>
      </c>
      <c r="E75" s="14">
        <v>1</v>
      </c>
      <c r="F75" t="s">
        <v>195</v>
      </c>
      <c r="G75" s="23" t="s">
        <v>196</v>
      </c>
      <c r="H75" s="14">
        <v>0</v>
      </c>
      <c r="I75" s="14">
        <v>0</v>
      </c>
      <c r="J75" s="14">
        <v>1</v>
      </c>
      <c r="K75" s="14">
        <v>0</v>
      </c>
      <c r="L75" s="14" t="s">
        <v>168</v>
      </c>
    </row>
    <row r="76" spans="2:16">
      <c r="B76" s="15">
        <v>41992.747676388892</v>
      </c>
      <c r="C76" s="19" t="s">
        <v>177</v>
      </c>
      <c r="D76" s="14">
        <v>220</v>
      </c>
      <c r="E76" s="14">
        <v>1</v>
      </c>
      <c r="F76" t="s">
        <v>195</v>
      </c>
      <c r="G76" s="23" t="s">
        <v>196</v>
      </c>
      <c r="H76" s="14">
        <v>0</v>
      </c>
      <c r="I76" s="14">
        <v>0</v>
      </c>
      <c r="J76" s="14">
        <v>1</v>
      </c>
      <c r="K76" s="14">
        <v>0</v>
      </c>
      <c r="L76" s="14">
        <v>0</v>
      </c>
    </row>
    <row r="77" spans="2:16">
      <c r="B77" s="15"/>
      <c r="C77" s="19"/>
      <c r="L77" s="14"/>
    </row>
    <row r="78" spans="2:16">
      <c r="B78" s="15"/>
      <c r="C78" s="19"/>
      <c r="G78" s="23"/>
      <c r="L78" s="14"/>
    </row>
    <row r="79" spans="2:16">
      <c r="B79" s="15"/>
      <c r="C79" s="19"/>
      <c r="G79" s="23"/>
      <c r="L79" s="14"/>
    </row>
    <row r="80" spans="2:16">
      <c r="B80" s="15"/>
      <c r="C80" s="19"/>
      <c r="G80" s="23"/>
      <c r="L80" s="14"/>
    </row>
    <row r="81" spans="2:12">
      <c r="B81" s="15"/>
      <c r="C81" s="19"/>
      <c r="L81" s="14"/>
    </row>
    <row r="82" spans="2:12">
      <c r="B82" s="15"/>
      <c r="C82" s="19"/>
      <c r="G82" s="23"/>
      <c r="L82" s="14"/>
    </row>
    <row r="83" spans="2:12">
      <c r="B83" s="15"/>
      <c r="C83" s="19"/>
      <c r="G83" s="23"/>
    </row>
    <row r="84" spans="2:12">
      <c r="B84" s="15"/>
      <c r="C84" s="19"/>
      <c r="G84" s="23"/>
    </row>
    <row r="85" spans="2:12">
      <c r="B85" s="15"/>
      <c r="C85" s="19"/>
      <c r="G85" s="23"/>
    </row>
    <row r="86" spans="2:12">
      <c r="B86" s="15"/>
      <c r="C86" s="19"/>
      <c r="G86" s="23"/>
    </row>
    <row r="87" spans="2:12">
      <c r="B87" s="15"/>
      <c r="C87" s="19"/>
      <c r="G87" s="23"/>
    </row>
    <row r="88" spans="2:12">
      <c r="B88" s="15"/>
      <c r="C88" s="19"/>
      <c r="G88" s="23"/>
    </row>
    <row r="89" spans="2:12">
      <c r="B89" s="15"/>
      <c r="C89" s="19"/>
      <c r="G89" s="23"/>
    </row>
    <row r="90" spans="2:12">
      <c r="B90" s="15"/>
      <c r="C90" s="19"/>
      <c r="G90" s="23"/>
    </row>
  </sheetData>
  <sortState ref="AB20:AE39">
    <sortCondition descending="1" ref="AD5"/>
  </sortState>
  <dataValidations count="1">
    <dataValidation type="list" allowBlank="1" showInputMessage="1" showErrorMessage="1" sqref="F21:F76">
      <formula1>ACTIF</formula1>
    </dataValidation>
  </dataValidations>
  <pageMargins left="0.7" right="0.7" top="0.75" bottom="0.75" header="0.3" footer="0.3"/>
  <pageSetup paperSize="9" orientation="portrait" r:id="rId5"/>
  <drawing r:id="rId6"/>
  <legacyDrawing r:id="rId7"/>
  <tableParts count="1">
    <tablePart r:id="rId8"/>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Feuil3"/>
  <dimension ref="A2:M109"/>
  <sheetViews>
    <sheetView showGridLines="0" topLeftCell="A16" zoomScaleNormal="100" workbookViewId="0">
      <selection activeCell="Q20" sqref="Q20"/>
    </sheetView>
  </sheetViews>
  <sheetFormatPr baseColWidth="10" defaultRowHeight="14.25"/>
  <cols>
    <col min="1" max="1" width="8.875" customWidth="1"/>
    <col min="2" max="2" width="18.125" style="13" bestFit="1" customWidth="1"/>
    <col min="3" max="3" width="15.375" style="21" customWidth="1"/>
    <col min="4" max="4" width="6.875" style="14" bestFit="1" customWidth="1"/>
    <col min="5" max="5" width="11" style="14" customWidth="1"/>
    <col min="6" max="6" width="13.5" bestFit="1" customWidth="1"/>
    <col min="7" max="7" width="37.5" bestFit="1" customWidth="1"/>
    <col min="8" max="8" width="12.375" style="14" bestFit="1" customWidth="1"/>
    <col min="9" max="9" width="8.875" style="14" bestFit="1" customWidth="1"/>
    <col min="10" max="10" width="8.125" style="14" bestFit="1" customWidth="1"/>
    <col min="11" max="11" width="11.375" style="14" customWidth="1"/>
    <col min="12" max="12" width="9.875" customWidth="1"/>
    <col min="13" max="13" width="10.625" hidden="1" customWidth="1"/>
    <col min="14" max="14" width="9.875" customWidth="1"/>
  </cols>
  <sheetData>
    <row r="2" spans="1:12">
      <c r="B2" s="44"/>
      <c r="C2" s="45"/>
      <c r="D2" s="46"/>
      <c r="E2" s="46"/>
      <c r="F2" s="47"/>
      <c r="G2" s="47"/>
      <c r="H2" s="46"/>
      <c r="I2" s="46"/>
      <c r="J2" s="46"/>
      <c r="K2" s="46"/>
      <c r="L2" s="48"/>
    </row>
    <row r="3" spans="1:12">
      <c r="B3" s="49"/>
      <c r="C3" s="50"/>
      <c r="D3" s="51"/>
      <c r="E3" s="51"/>
      <c r="F3" s="52"/>
      <c r="G3" s="52"/>
      <c r="H3" s="51"/>
      <c r="I3" s="51"/>
      <c r="J3" s="51"/>
      <c r="K3" s="51"/>
      <c r="L3" s="53"/>
    </row>
    <row r="4" spans="1:12">
      <c r="B4" s="49"/>
      <c r="C4" s="50"/>
      <c r="D4" s="51"/>
      <c r="E4" s="51"/>
      <c r="F4" s="52"/>
      <c r="G4" s="52"/>
      <c r="H4" s="51"/>
      <c r="I4" s="51"/>
      <c r="J4" s="51"/>
      <c r="K4" s="51"/>
      <c r="L4" s="53"/>
    </row>
    <row r="5" spans="1:12">
      <c r="B5" s="49"/>
      <c r="C5" s="50"/>
      <c r="D5" s="51"/>
      <c r="E5" s="51"/>
      <c r="F5" s="52"/>
      <c r="G5" s="52"/>
      <c r="H5" s="51"/>
      <c r="I5" s="51"/>
      <c r="J5" s="51"/>
      <c r="K5" s="51"/>
      <c r="L5" s="53"/>
    </row>
    <row r="6" spans="1:12">
      <c r="B6" s="49"/>
      <c r="C6" s="50"/>
      <c r="D6" s="51"/>
      <c r="E6" s="51"/>
      <c r="F6" s="52"/>
      <c r="G6" s="52"/>
      <c r="H6" s="51"/>
      <c r="I6" s="51"/>
      <c r="J6" s="51"/>
      <c r="K6" s="51"/>
      <c r="L6" s="53"/>
    </row>
    <row r="7" spans="1:12">
      <c r="B7" s="49"/>
      <c r="C7" s="50"/>
      <c r="D7" s="51"/>
      <c r="E7" s="51"/>
      <c r="F7" s="52"/>
      <c r="G7" s="52"/>
      <c r="H7" s="51"/>
      <c r="I7" s="51"/>
      <c r="J7" s="51"/>
      <c r="K7" s="51"/>
      <c r="L7" s="53"/>
    </row>
    <row r="8" spans="1:12">
      <c r="B8" s="49"/>
      <c r="C8" s="50"/>
      <c r="D8" s="51"/>
      <c r="E8" s="51"/>
      <c r="F8" s="52"/>
      <c r="G8" s="52"/>
      <c r="H8" s="51"/>
      <c r="I8" s="51"/>
      <c r="J8" s="51"/>
      <c r="K8" s="51"/>
      <c r="L8" s="53"/>
    </row>
    <row r="9" spans="1:12">
      <c r="B9" s="49"/>
      <c r="C9" s="50"/>
      <c r="D9" s="51"/>
      <c r="E9" s="51"/>
      <c r="F9" s="52"/>
      <c r="G9" s="52"/>
      <c r="H9" s="51"/>
      <c r="I9" s="51"/>
      <c r="J9" s="51"/>
      <c r="K9" s="51"/>
      <c r="L9" s="53"/>
    </row>
    <row r="10" spans="1:12">
      <c r="B10" s="49"/>
      <c r="C10" s="50"/>
      <c r="D10" s="51"/>
      <c r="E10" s="51"/>
      <c r="F10" s="52"/>
      <c r="G10" s="52"/>
      <c r="H10" s="51"/>
      <c r="I10" s="51"/>
      <c r="J10" s="51"/>
      <c r="K10" s="51"/>
      <c r="L10" s="53"/>
    </row>
    <row r="11" spans="1:12">
      <c r="B11" s="49"/>
      <c r="C11" s="50"/>
      <c r="D11" s="51"/>
      <c r="E11" s="51"/>
      <c r="F11" s="52"/>
      <c r="G11" s="52"/>
      <c r="H11" s="51"/>
      <c r="I11" s="51"/>
      <c r="J11" s="51"/>
      <c r="K11" s="51"/>
      <c r="L11" s="53"/>
    </row>
    <row r="12" spans="1:12">
      <c r="B12" s="49"/>
      <c r="C12" s="65" t="s">
        <v>178</v>
      </c>
      <c r="D12" s="64">
        <v>999</v>
      </c>
      <c r="E12" s="51"/>
      <c r="F12" s="52"/>
      <c r="G12" s="52"/>
      <c r="H12" s="51"/>
      <c r="I12" s="51"/>
      <c r="J12" s="51"/>
      <c r="K12" s="51"/>
      <c r="L12" s="53"/>
    </row>
    <row r="13" spans="1:12">
      <c r="B13" s="49"/>
      <c r="C13" s="65" t="s">
        <v>104</v>
      </c>
      <c r="D13" s="64">
        <v>1</v>
      </c>
      <c r="E13" s="51"/>
      <c r="F13" s="52"/>
      <c r="G13" s="52"/>
      <c r="H13" s="51"/>
      <c r="I13" s="51"/>
      <c r="J13" s="51"/>
      <c r="K13" s="51"/>
      <c r="L13" s="53"/>
    </row>
    <row r="14" spans="1:12">
      <c r="B14" s="54"/>
      <c r="C14" s="55"/>
      <c r="D14" s="56"/>
      <c r="E14" s="56"/>
      <c r="F14" s="57"/>
      <c r="G14" s="57"/>
      <c r="H14" s="56"/>
      <c r="I14" s="56"/>
      <c r="J14" s="56"/>
      <c r="K14" s="56"/>
      <c r="L14" s="58"/>
    </row>
    <row r="15" spans="1:12" ht="6.75" customHeight="1"/>
    <row r="16" spans="1:12" ht="16.5">
      <c r="A16" s="67" t="s">
        <v>179</v>
      </c>
      <c r="B16" s="61">
        <f>INDEX(Tableau14[DATEH],COUNT(Tableau14[DATEH]))</f>
        <v>41996.965058912036</v>
      </c>
      <c r="C16" s="68">
        <f ca="1">HOUR(B17-B16)*3600+MINUTE(B17-B16)*60+SECOND(B17-B16)</f>
        <v>56965</v>
      </c>
      <c r="D16" s="62">
        <f>INDEX(Tableau14[ID],COUNTA(Tableau14[ID]))</f>
        <v>999</v>
      </c>
      <c r="E16" s="62">
        <f>INDEX(Tableau14[OBSERV],COUNTA(Tableau14[OBSERV]))</f>
        <v>1</v>
      </c>
      <c r="F16" s="63" t="str">
        <f>INDEX(Tableau14[ACTIVITE],COUNTA(Tableau14[ACTIVITE]))</f>
        <v>COLLOQUE</v>
      </c>
      <c r="G16" s="63" t="str">
        <f>VLOOKUP(F16,Codebook!$C$41:$D$67,2,FALSE)</f>
        <v>Colloque</v>
      </c>
      <c r="H16" s="62">
        <f>INDEX(Tableau14[PT_PRENT],COUNTA(Tableau14[PT_PRENT]))</f>
        <v>0</v>
      </c>
      <c r="I16" s="62">
        <f>INDEX(Tableau14[ORDI],COUNTA(Tableau14[ORDI]))</f>
        <v>0</v>
      </c>
      <c r="J16" s="62">
        <f>INDEX(Tableau14[TEL],COUNTA(Tableau14[TEL]))</f>
        <v>0</v>
      </c>
      <c r="K16" s="62">
        <f>INDEX(Tableau14[COLLEGUE],COUNTA(Tableau14[COLLEGUE]))</f>
        <v>2</v>
      </c>
      <c r="L16" s="62">
        <f>INDEX(Tableau14[FLAG],COUNTA(Tableau14[FLAG]))</f>
        <v>0</v>
      </c>
    </row>
    <row r="17" spans="1:13" ht="16.5">
      <c r="A17" s="67" t="s">
        <v>180</v>
      </c>
      <c r="B17" s="60">
        <f ca="1">NOW()</f>
        <v>42104.62437326389</v>
      </c>
      <c r="C17" s="66" t="s">
        <v>177</v>
      </c>
      <c r="D17" s="69">
        <f>D12</f>
        <v>999</v>
      </c>
      <c r="E17" s="69">
        <f>D13</f>
        <v>1</v>
      </c>
      <c r="F17" s="70" t="str">
        <f>INDEX(Codebook!C41:C67,'Dr House test'!F18,0)</f>
        <v>COLLOQUE</v>
      </c>
      <c r="G17" s="70" t="str">
        <f>VLOOKUP(F17,Codebook!$C$41:$D$67,2,FALSE)</f>
        <v>Colloque</v>
      </c>
      <c r="H17" s="69">
        <f>H18-1</f>
        <v>0</v>
      </c>
      <c r="I17" s="69">
        <f t="shared" ref="I17:K17" si="0">I18-1</f>
        <v>0</v>
      </c>
      <c r="J17" s="69">
        <f t="shared" si="0"/>
        <v>0</v>
      </c>
      <c r="K17" s="69">
        <f t="shared" si="0"/>
        <v>2</v>
      </c>
      <c r="L17" s="69">
        <f>IF(L18-1&gt;0,INDEX(Codebook!C69:C72,L18-1),0)</f>
        <v>0</v>
      </c>
    </row>
    <row r="18" spans="1:13" s="14" customFormat="1" hidden="1">
      <c r="C18" s="21"/>
      <c r="F18" s="14">
        <v>17</v>
      </c>
      <c r="H18" s="14">
        <v>1</v>
      </c>
      <c r="I18" s="14">
        <v>1</v>
      </c>
      <c r="J18" s="14">
        <v>1</v>
      </c>
      <c r="K18" s="14">
        <v>3</v>
      </c>
      <c r="L18" s="14">
        <v>1</v>
      </c>
    </row>
    <row r="19" spans="1:13" ht="7.5" customHeight="1"/>
    <row r="20" spans="1:13" ht="16.5">
      <c r="B20" s="16" t="s">
        <v>107</v>
      </c>
      <c r="C20" s="20" t="s">
        <v>122</v>
      </c>
      <c r="D20" s="17" t="s">
        <v>10</v>
      </c>
      <c r="E20" s="17" t="s">
        <v>105</v>
      </c>
      <c r="F20" s="18" t="s">
        <v>80</v>
      </c>
      <c r="G20" s="18" t="s">
        <v>149</v>
      </c>
      <c r="H20" s="17" t="s">
        <v>75</v>
      </c>
      <c r="I20" s="17" t="s">
        <v>83</v>
      </c>
      <c r="J20" s="17" t="s">
        <v>84</v>
      </c>
      <c r="K20" s="17" t="s">
        <v>86</v>
      </c>
      <c r="L20" s="59" t="s">
        <v>159</v>
      </c>
      <c r="M20" t="s">
        <v>113</v>
      </c>
    </row>
    <row r="21" spans="1:13">
      <c r="B21" s="15">
        <v>41996.957604861112</v>
      </c>
      <c r="C21" s="19">
        <v>18</v>
      </c>
      <c r="D21" s="14">
        <v>999</v>
      </c>
      <c r="E21" s="14">
        <v>1</v>
      </c>
      <c r="F21" t="s">
        <v>119</v>
      </c>
      <c r="G21" s="23" t="s">
        <v>120</v>
      </c>
      <c r="H21" s="14">
        <v>0</v>
      </c>
      <c r="I21" s="14">
        <v>0</v>
      </c>
      <c r="J21" s="14">
        <v>0</v>
      </c>
      <c r="K21" s="14">
        <v>0</v>
      </c>
      <c r="L21" s="14">
        <v>0</v>
      </c>
      <c r="M21">
        <v>3</v>
      </c>
    </row>
    <row r="22" spans="1:13">
      <c r="B22" s="15">
        <v>41996.957808217594</v>
      </c>
      <c r="C22" s="19">
        <v>63</v>
      </c>
      <c r="D22" s="14">
        <v>999</v>
      </c>
      <c r="E22" s="14">
        <v>1</v>
      </c>
      <c r="F22" t="s">
        <v>119</v>
      </c>
      <c r="G22" s="23" t="s">
        <v>120</v>
      </c>
      <c r="H22" s="14">
        <v>0</v>
      </c>
      <c r="I22" s="14">
        <v>0</v>
      </c>
      <c r="J22" s="14">
        <v>0</v>
      </c>
      <c r="K22" s="14">
        <v>1</v>
      </c>
      <c r="L22" s="14">
        <v>0</v>
      </c>
      <c r="M22">
        <v>3</v>
      </c>
    </row>
    <row r="23" spans="1:13">
      <c r="B23" s="15">
        <v>41996.958539583335</v>
      </c>
      <c r="C23" s="19">
        <v>69</v>
      </c>
      <c r="D23" s="14">
        <v>999</v>
      </c>
      <c r="E23" s="14">
        <v>1</v>
      </c>
      <c r="F23" t="s">
        <v>119</v>
      </c>
      <c r="G23" s="23" t="s">
        <v>120</v>
      </c>
      <c r="H23" s="14">
        <v>0</v>
      </c>
      <c r="I23" s="14">
        <v>0</v>
      </c>
      <c r="J23" s="14">
        <v>0</v>
      </c>
      <c r="K23" s="14">
        <v>1</v>
      </c>
      <c r="L23" s="14" t="s">
        <v>168</v>
      </c>
      <c r="M23">
        <v>1</v>
      </c>
    </row>
    <row r="24" spans="1:13">
      <c r="B24" s="15">
        <v>41996.959337268519</v>
      </c>
      <c r="C24" s="19">
        <v>29</v>
      </c>
      <c r="D24" s="14">
        <v>999</v>
      </c>
      <c r="E24" s="14">
        <v>1</v>
      </c>
      <c r="F24" t="s">
        <v>96</v>
      </c>
      <c r="G24" s="23" t="s">
        <v>95</v>
      </c>
      <c r="H24" s="14">
        <v>0</v>
      </c>
      <c r="I24" s="14">
        <v>0</v>
      </c>
      <c r="J24" s="14">
        <v>0</v>
      </c>
      <c r="K24" s="14">
        <v>1</v>
      </c>
      <c r="L24" s="14">
        <v>0</v>
      </c>
      <c r="M24">
        <v>7</v>
      </c>
    </row>
    <row r="25" spans="1:13">
      <c r="B25" s="15">
        <v>41996.959667708332</v>
      </c>
      <c r="C25" s="19">
        <v>41</v>
      </c>
      <c r="D25" s="14">
        <v>999</v>
      </c>
      <c r="E25" s="14">
        <v>1</v>
      </c>
      <c r="F25" t="s">
        <v>41</v>
      </c>
      <c r="G25" s="23" t="s">
        <v>158</v>
      </c>
      <c r="H25" s="14">
        <v>0</v>
      </c>
      <c r="I25" s="14">
        <v>0</v>
      </c>
      <c r="J25" s="14">
        <v>0</v>
      </c>
      <c r="K25" s="14">
        <v>1</v>
      </c>
      <c r="L25" s="14">
        <v>0</v>
      </c>
      <c r="M25">
        <v>10</v>
      </c>
    </row>
    <row r="26" spans="1:13">
      <c r="B26" s="15">
        <v>41996.960146759258</v>
      </c>
      <c r="C26" s="19">
        <v>41</v>
      </c>
      <c r="D26" s="14">
        <v>999</v>
      </c>
      <c r="E26" s="14">
        <v>1</v>
      </c>
      <c r="F26" t="s">
        <v>195</v>
      </c>
      <c r="G26" s="23" t="s">
        <v>196</v>
      </c>
      <c r="H26" s="14">
        <v>0</v>
      </c>
      <c r="I26" s="14">
        <v>0</v>
      </c>
      <c r="J26" s="14">
        <v>0</v>
      </c>
      <c r="K26" s="14">
        <v>0</v>
      </c>
      <c r="L26" s="14">
        <v>0</v>
      </c>
      <c r="M26">
        <v>3</v>
      </c>
    </row>
    <row r="27" spans="1:13">
      <c r="B27" s="15">
        <v>41996.960617939818</v>
      </c>
      <c r="C27" s="19">
        <v>84</v>
      </c>
      <c r="D27" s="14">
        <v>999</v>
      </c>
      <c r="E27" s="14">
        <v>1</v>
      </c>
      <c r="F27" t="s">
        <v>74</v>
      </c>
      <c r="G27" s="23" t="s">
        <v>126</v>
      </c>
      <c r="H27" s="14">
        <v>1</v>
      </c>
      <c r="I27" s="14">
        <v>0</v>
      </c>
      <c r="J27" s="14">
        <v>0</v>
      </c>
      <c r="K27" s="14">
        <v>0</v>
      </c>
      <c r="L27" s="14">
        <v>0</v>
      </c>
      <c r="M27">
        <v>10</v>
      </c>
    </row>
    <row r="28" spans="1:13">
      <c r="B28" s="15">
        <v>41996.961595833331</v>
      </c>
      <c r="C28" s="19">
        <v>5</v>
      </c>
      <c r="D28" s="14">
        <v>999</v>
      </c>
      <c r="E28" s="14">
        <v>1</v>
      </c>
      <c r="F28" t="s">
        <v>41</v>
      </c>
      <c r="G28" s="23" t="s">
        <v>158</v>
      </c>
      <c r="H28" s="14">
        <v>1</v>
      </c>
      <c r="I28" s="14">
        <v>0</v>
      </c>
      <c r="J28" s="14">
        <v>0</v>
      </c>
      <c r="K28" s="14">
        <v>0</v>
      </c>
      <c r="L28" s="14">
        <v>0</v>
      </c>
      <c r="M28">
        <v>1</v>
      </c>
    </row>
    <row r="29" spans="1:13">
      <c r="B29" s="15">
        <v>41996.961651157406</v>
      </c>
      <c r="C29" s="19">
        <v>8</v>
      </c>
      <c r="D29" s="14">
        <v>999</v>
      </c>
      <c r="E29" s="14">
        <v>1</v>
      </c>
      <c r="F29" t="s">
        <v>41</v>
      </c>
      <c r="G29" s="23" t="s">
        <v>158</v>
      </c>
      <c r="H29" s="14">
        <v>0</v>
      </c>
      <c r="I29" s="14">
        <v>0</v>
      </c>
      <c r="J29" s="14">
        <v>0</v>
      </c>
      <c r="K29" s="14">
        <v>0</v>
      </c>
      <c r="L29" s="14">
        <v>0</v>
      </c>
      <c r="M29">
        <v>10</v>
      </c>
    </row>
    <row r="30" spans="1:13">
      <c r="B30" s="15">
        <v>41996.961745949076</v>
      </c>
      <c r="C30" s="19">
        <v>23</v>
      </c>
      <c r="D30" s="14">
        <v>999</v>
      </c>
      <c r="E30" s="14">
        <v>1</v>
      </c>
      <c r="F30" t="s">
        <v>41</v>
      </c>
      <c r="G30" s="23" t="s">
        <v>158</v>
      </c>
      <c r="H30" s="14">
        <v>1</v>
      </c>
      <c r="I30" s="14">
        <v>0</v>
      </c>
      <c r="J30" s="14">
        <v>0</v>
      </c>
      <c r="K30" s="14">
        <v>0</v>
      </c>
      <c r="L30" s="14">
        <v>0</v>
      </c>
      <c r="M30">
        <v>1</v>
      </c>
    </row>
    <row r="31" spans="1:13">
      <c r="B31" s="15">
        <v>41996.962010069445</v>
      </c>
      <c r="C31" s="19">
        <v>30</v>
      </c>
      <c r="D31" s="14">
        <v>999</v>
      </c>
      <c r="E31" s="14">
        <v>1</v>
      </c>
      <c r="F31" t="s">
        <v>195</v>
      </c>
      <c r="G31" s="23" t="s">
        <v>196</v>
      </c>
      <c r="H31" s="14">
        <v>0</v>
      </c>
      <c r="I31" s="14">
        <v>0</v>
      </c>
      <c r="J31" s="14">
        <v>0</v>
      </c>
      <c r="K31" s="14">
        <v>0</v>
      </c>
      <c r="L31" s="14">
        <v>0</v>
      </c>
      <c r="M31">
        <v>5</v>
      </c>
    </row>
    <row r="32" spans="1:13">
      <c r="B32" s="15">
        <v>41996.962361458332</v>
      </c>
      <c r="C32" s="19">
        <v>34</v>
      </c>
      <c r="D32" s="14">
        <v>999</v>
      </c>
      <c r="E32" s="14">
        <v>1</v>
      </c>
      <c r="F32" t="s">
        <v>74</v>
      </c>
      <c r="G32" s="23" t="s">
        <v>126</v>
      </c>
      <c r="H32" s="14">
        <v>1</v>
      </c>
      <c r="I32" s="14">
        <v>0</v>
      </c>
      <c r="J32" s="14">
        <v>0</v>
      </c>
      <c r="K32" s="14">
        <v>0</v>
      </c>
      <c r="L32" s="14">
        <v>0</v>
      </c>
      <c r="M32">
        <v>7</v>
      </c>
    </row>
    <row r="33" spans="2:13">
      <c r="B33" s="15">
        <v>41996.962754513886</v>
      </c>
      <c r="C33" s="19">
        <v>8</v>
      </c>
      <c r="D33" s="14">
        <v>999</v>
      </c>
      <c r="E33" s="14">
        <v>1</v>
      </c>
      <c r="F33" t="s">
        <v>96</v>
      </c>
      <c r="G33" s="23" t="s">
        <v>95</v>
      </c>
      <c r="H33" s="14">
        <v>1</v>
      </c>
      <c r="I33" s="14">
        <v>0</v>
      </c>
      <c r="J33" s="14">
        <v>0</v>
      </c>
      <c r="K33" s="14">
        <v>0</v>
      </c>
      <c r="L33" s="14">
        <v>0</v>
      </c>
      <c r="M33">
        <v>7</v>
      </c>
    </row>
    <row r="34" spans="2:13">
      <c r="B34" s="15">
        <v>41996.962843865738</v>
      </c>
      <c r="C34" s="19">
        <v>3</v>
      </c>
      <c r="D34" s="14">
        <v>999</v>
      </c>
      <c r="E34" s="14">
        <v>1</v>
      </c>
      <c r="F34" t="s">
        <v>117</v>
      </c>
      <c r="G34" s="23" t="s">
        <v>118</v>
      </c>
      <c r="H34" s="14">
        <v>0</v>
      </c>
      <c r="I34" s="14">
        <v>0</v>
      </c>
      <c r="J34" s="14">
        <v>0</v>
      </c>
      <c r="K34" s="14">
        <v>0</v>
      </c>
      <c r="L34" s="14">
        <v>0</v>
      </c>
      <c r="M34">
        <v>10</v>
      </c>
    </row>
    <row r="35" spans="2:13">
      <c r="B35" s="15">
        <v>41996.962879282408</v>
      </c>
      <c r="C35" s="19">
        <v>3</v>
      </c>
      <c r="D35" s="14">
        <v>999</v>
      </c>
      <c r="E35" s="14">
        <v>1</v>
      </c>
      <c r="F35" t="s">
        <v>117</v>
      </c>
      <c r="G35" s="23" t="s">
        <v>118</v>
      </c>
      <c r="H35" s="14">
        <v>0</v>
      </c>
      <c r="I35" s="14">
        <v>0</v>
      </c>
      <c r="J35" s="14">
        <v>0</v>
      </c>
      <c r="K35" s="14">
        <v>2</v>
      </c>
      <c r="L35" s="14">
        <v>0</v>
      </c>
      <c r="M35">
        <v>2</v>
      </c>
    </row>
    <row r="36" spans="2:13">
      <c r="B36" s="15">
        <v>41996.962915972224</v>
      </c>
      <c r="C36" s="19">
        <v>30</v>
      </c>
      <c r="D36" s="14">
        <v>999</v>
      </c>
      <c r="E36" s="14">
        <v>1</v>
      </c>
      <c r="F36" t="s">
        <v>117</v>
      </c>
      <c r="G36" s="23" t="s">
        <v>118</v>
      </c>
      <c r="H36" s="14">
        <v>0</v>
      </c>
      <c r="I36" s="14">
        <v>0</v>
      </c>
      <c r="J36" s="14">
        <v>0</v>
      </c>
      <c r="K36" s="14">
        <v>2</v>
      </c>
      <c r="L36" s="14">
        <v>0</v>
      </c>
      <c r="M36">
        <v>20</v>
      </c>
    </row>
    <row r="37" spans="2:13">
      <c r="B37" s="15">
        <v>41996.963265972219</v>
      </c>
      <c r="C37" s="19">
        <v>49</v>
      </c>
      <c r="D37" s="14">
        <v>999</v>
      </c>
      <c r="E37" s="14">
        <v>1</v>
      </c>
      <c r="F37" t="s">
        <v>117</v>
      </c>
      <c r="G37" s="23" t="s">
        <v>118</v>
      </c>
      <c r="H37" s="14">
        <v>0</v>
      </c>
      <c r="I37" s="14">
        <v>0</v>
      </c>
      <c r="J37" s="14">
        <v>0</v>
      </c>
      <c r="K37" s="14">
        <v>2</v>
      </c>
      <c r="L37" s="14">
        <v>0</v>
      </c>
      <c r="M37">
        <v>5</v>
      </c>
    </row>
    <row r="38" spans="2:13">
      <c r="B38" s="15">
        <v>41996.963835532406</v>
      </c>
      <c r="C38" s="19">
        <v>12</v>
      </c>
      <c r="D38" s="14">
        <v>999</v>
      </c>
      <c r="E38" s="14">
        <v>1</v>
      </c>
      <c r="F38" t="s">
        <v>96</v>
      </c>
      <c r="G38" s="23" t="s">
        <v>95</v>
      </c>
      <c r="H38" s="14">
        <v>0</v>
      </c>
      <c r="I38" s="14">
        <v>0</v>
      </c>
      <c r="J38" s="14">
        <v>0</v>
      </c>
      <c r="K38" s="14">
        <v>2</v>
      </c>
      <c r="L38" s="14">
        <v>0</v>
      </c>
      <c r="M38">
        <v>10</v>
      </c>
    </row>
    <row r="39" spans="2:13">
      <c r="B39" s="15">
        <v>41996.963979166663</v>
      </c>
      <c r="C39" s="19">
        <v>5</v>
      </c>
      <c r="D39" s="14">
        <v>999</v>
      </c>
      <c r="E39" s="14">
        <v>1</v>
      </c>
      <c r="F39" t="s">
        <v>94</v>
      </c>
      <c r="G39" s="23" t="s">
        <v>156</v>
      </c>
      <c r="H39" s="14">
        <v>0</v>
      </c>
      <c r="I39" s="14">
        <v>0</v>
      </c>
      <c r="J39" s="14">
        <v>0</v>
      </c>
      <c r="K39" s="14">
        <v>2</v>
      </c>
      <c r="L39" s="14">
        <v>0</v>
      </c>
      <c r="M39">
        <v>2</v>
      </c>
    </row>
    <row r="40" spans="2:13">
      <c r="B40" s="15">
        <v>41996.964042708336</v>
      </c>
      <c r="C40" s="19">
        <v>54</v>
      </c>
      <c r="D40" s="14">
        <v>999</v>
      </c>
      <c r="E40" s="14">
        <v>1</v>
      </c>
      <c r="F40" t="s">
        <v>74</v>
      </c>
      <c r="G40" s="23" t="s">
        <v>126</v>
      </c>
      <c r="H40" s="14">
        <v>0</v>
      </c>
      <c r="I40" s="14">
        <v>0</v>
      </c>
      <c r="J40" s="14">
        <v>0</v>
      </c>
      <c r="K40" s="14">
        <v>0</v>
      </c>
      <c r="L40" s="14">
        <v>0</v>
      </c>
      <c r="M40">
        <v>10</v>
      </c>
    </row>
    <row r="41" spans="2:13">
      <c r="B41" s="15">
        <v>41996.964667824075</v>
      </c>
      <c r="C41" s="19">
        <v>24</v>
      </c>
      <c r="D41" s="14">
        <v>999</v>
      </c>
      <c r="E41" s="14">
        <v>1</v>
      </c>
      <c r="F41" t="s">
        <v>74</v>
      </c>
      <c r="G41" s="23" t="s">
        <v>126</v>
      </c>
      <c r="H41" s="14">
        <v>0</v>
      </c>
      <c r="I41" s="14">
        <v>0</v>
      </c>
      <c r="J41" s="14">
        <v>0</v>
      </c>
      <c r="K41" s="14">
        <v>0</v>
      </c>
      <c r="L41" s="14">
        <v>0</v>
      </c>
      <c r="M41">
        <v>7</v>
      </c>
    </row>
    <row r="42" spans="2:13">
      <c r="B42" s="15">
        <v>41996.964940509257</v>
      </c>
      <c r="C42" s="19">
        <v>10</v>
      </c>
      <c r="D42" s="14">
        <v>999</v>
      </c>
      <c r="E42" s="14">
        <v>1</v>
      </c>
      <c r="F42" t="s">
        <v>117</v>
      </c>
      <c r="G42" s="23" t="s">
        <v>118</v>
      </c>
      <c r="H42" s="14">
        <v>0</v>
      </c>
      <c r="I42" s="14">
        <v>0</v>
      </c>
      <c r="J42" s="14">
        <v>0</v>
      </c>
      <c r="K42" s="14">
        <v>0</v>
      </c>
      <c r="L42" s="14">
        <v>0</v>
      </c>
      <c r="M42">
        <v>7</v>
      </c>
    </row>
    <row r="43" spans="2:13">
      <c r="B43" s="15">
        <v>41996.965054745371</v>
      </c>
      <c r="C43" s="19">
        <v>0</v>
      </c>
      <c r="D43" s="14">
        <v>999</v>
      </c>
      <c r="E43" s="14">
        <v>1</v>
      </c>
      <c r="F43" t="s">
        <v>117</v>
      </c>
      <c r="G43" s="23" t="s">
        <v>118</v>
      </c>
      <c r="H43" s="14">
        <v>0</v>
      </c>
      <c r="I43" s="14">
        <v>0</v>
      </c>
      <c r="J43" s="14">
        <v>0</v>
      </c>
      <c r="K43" s="14">
        <v>2</v>
      </c>
      <c r="L43" s="14">
        <v>0</v>
      </c>
      <c r="M43">
        <v>3</v>
      </c>
    </row>
    <row r="44" spans="2:13">
      <c r="B44" s="15">
        <v>41996.965058912036</v>
      </c>
      <c r="C44" s="19" t="s">
        <v>177</v>
      </c>
      <c r="D44" s="14">
        <v>999</v>
      </c>
      <c r="E44" s="14">
        <v>1</v>
      </c>
      <c r="F44" t="s">
        <v>117</v>
      </c>
      <c r="G44" s="23" t="s">
        <v>118</v>
      </c>
      <c r="H44" s="14">
        <v>0</v>
      </c>
      <c r="I44" s="14">
        <v>0</v>
      </c>
      <c r="J44" s="14">
        <v>0</v>
      </c>
      <c r="K44" s="14">
        <v>2</v>
      </c>
      <c r="L44" s="14">
        <v>0</v>
      </c>
      <c r="M44">
        <v>10</v>
      </c>
    </row>
    <row r="45" spans="2:13">
      <c r="B45" s="15"/>
      <c r="C45" s="19"/>
      <c r="L45" s="14"/>
      <c r="M45">
        <v>1</v>
      </c>
    </row>
    <row r="46" spans="2:13">
      <c r="B46" s="15"/>
      <c r="C46" s="19"/>
      <c r="L46" s="14"/>
      <c r="M46">
        <v>20</v>
      </c>
    </row>
    <row r="47" spans="2:13">
      <c r="B47" s="15"/>
      <c r="C47" s="19"/>
      <c r="L47" s="14"/>
      <c r="M47">
        <v>3</v>
      </c>
    </row>
    <row r="48" spans="2:13">
      <c r="B48" s="15"/>
      <c r="C48" s="19"/>
      <c r="L48" s="14"/>
      <c r="M48">
        <v>30</v>
      </c>
    </row>
    <row r="49" spans="2:13">
      <c r="B49" s="15"/>
      <c r="C49" s="19"/>
      <c r="L49" s="14"/>
      <c r="M49">
        <v>2</v>
      </c>
    </row>
    <row r="50" spans="2:13">
      <c r="B50" s="15"/>
      <c r="C50" s="19"/>
      <c r="L50" s="14"/>
      <c r="M50">
        <v>10</v>
      </c>
    </row>
    <row r="51" spans="2:13">
      <c r="B51" s="15"/>
      <c r="C51" s="19"/>
      <c r="L51" s="14"/>
      <c r="M51">
        <v>20</v>
      </c>
    </row>
    <row r="52" spans="2:13">
      <c r="B52" s="15"/>
      <c r="C52" s="19"/>
      <c r="L52" s="14"/>
      <c r="M52">
        <v>3</v>
      </c>
    </row>
    <row r="53" spans="2:13">
      <c r="B53" s="15"/>
      <c r="C53" s="19"/>
      <c r="L53" s="14"/>
      <c r="M53">
        <v>7</v>
      </c>
    </row>
    <row r="54" spans="2:13">
      <c r="B54" s="15"/>
      <c r="C54" s="19"/>
      <c r="L54" s="14"/>
      <c r="M54">
        <v>2</v>
      </c>
    </row>
    <row r="55" spans="2:13">
      <c r="B55" s="15"/>
      <c r="C55" s="19"/>
      <c r="L55" s="14"/>
      <c r="M55">
        <v>3</v>
      </c>
    </row>
    <row r="56" spans="2:13">
      <c r="B56" s="15"/>
      <c r="C56" s="19"/>
      <c r="L56" s="14"/>
      <c r="M56">
        <v>15</v>
      </c>
    </row>
    <row r="57" spans="2:13">
      <c r="B57" s="15"/>
      <c r="C57" s="19"/>
      <c r="L57" s="14"/>
      <c r="M57">
        <v>3</v>
      </c>
    </row>
    <row r="58" spans="2:13">
      <c r="B58" s="15"/>
      <c r="C58" s="19"/>
      <c r="L58" s="14"/>
      <c r="M58">
        <v>1</v>
      </c>
    </row>
    <row r="59" spans="2:13">
      <c r="B59" s="15"/>
      <c r="C59" s="19"/>
      <c r="L59" s="14"/>
      <c r="M59">
        <v>10</v>
      </c>
    </row>
    <row r="60" spans="2:13">
      <c r="B60" s="15"/>
      <c r="C60" s="19"/>
      <c r="L60" s="14"/>
      <c r="M60">
        <v>3</v>
      </c>
    </row>
    <row r="61" spans="2:13">
      <c r="B61" s="15"/>
      <c r="C61" s="19"/>
      <c r="L61" s="14"/>
      <c r="M61">
        <v>30</v>
      </c>
    </row>
    <row r="62" spans="2:13">
      <c r="B62" s="15"/>
      <c r="C62" s="19"/>
      <c r="L62" s="14"/>
      <c r="M62">
        <v>20</v>
      </c>
    </row>
    <row r="63" spans="2:13">
      <c r="B63" s="15"/>
      <c r="C63" s="19"/>
      <c r="L63" s="14"/>
      <c r="M63">
        <v>10</v>
      </c>
    </row>
    <row r="64" spans="2:13">
      <c r="B64" s="15"/>
      <c r="C64" s="19"/>
      <c r="L64" s="14"/>
      <c r="M64">
        <v>1</v>
      </c>
    </row>
    <row r="65" spans="2:13">
      <c r="B65" s="15"/>
      <c r="C65" s="19"/>
      <c r="L65" s="14"/>
      <c r="M65">
        <v>20</v>
      </c>
    </row>
    <row r="66" spans="2:13">
      <c r="B66" s="15"/>
      <c r="C66" s="19"/>
      <c r="L66" s="14"/>
      <c r="M66">
        <v>10</v>
      </c>
    </row>
    <row r="67" spans="2:13">
      <c r="B67" s="15"/>
      <c r="C67" s="19"/>
      <c r="L67" s="14"/>
      <c r="M67">
        <v>30</v>
      </c>
    </row>
    <row r="68" spans="2:13">
      <c r="B68" s="15"/>
      <c r="C68" s="19"/>
      <c r="L68" s="14"/>
      <c r="M68">
        <v>20</v>
      </c>
    </row>
    <row r="69" spans="2:13">
      <c r="B69" s="15"/>
      <c r="C69" s="19"/>
      <c r="L69" s="14"/>
      <c r="M69">
        <v>5</v>
      </c>
    </row>
    <row r="70" spans="2:13">
      <c r="B70" s="15"/>
      <c r="C70" s="19"/>
      <c r="L70" s="14"/>
      <c r="M70">
        <v>0</v>
      </c>
    </row>
    <row r="71" spans="2:13">
      <c r="B71" s="15"/>
      <c r="C71" s="19"/>
      <c r="L71" s="14"/>
    </row>
    <row r="72" spans="2:13">
      <c r="B72" s="15"/>
      <c r="C72" s="19"/>
      <c r="L72" s="14"/>
    </row>
    <row r="73" spans="2:13">
      <c r="B73" s="15"/>
      <c r="C73" s="19"/>
      <c r="L73" s="14"/>
    </row>
    <row r="74" spans="2:13">
      <c r="B74" s="15"/>
      <c r="C74" s="19"/>
      <c r="L74" s="14"/>
    </row>
    <row r="75" spans="2:13">
      <c r="B75" s="15"/>
      <c r="C75" s="19"/>
      <c r="L75" s="14"/>
    </row>
    <row r="76" spans="2:13">
      <c r="B76" s="15"/>
      <c r="C76" s="19"/>
      <c r="L76" s="14"/>
    </row>
    <row r="77" spans="2:13">
      <c r="B77" s="15"/>
      <c r="C77" s="19"/>
      <c r="L77" s="14"/>
    </row>
    <row r="78" spans="2:13">
      <c r="B78" s="15"/>
      <c r="C78" s="19"/>
      <c r="L78" s="14"/>
    </row>
    <row r="79" spans="2:13">
      <c r="B79" s="15"/>
      <c r="C79" s="19"/>
      <c r="L79" s="14"/>
    </row>
    <row r="80" spans="2:13">
      <c r="B80" s="15"/>
      <c r="C80" s="19"/>
      <c r="L80" s="14"/>
    </row>
    <row r="81" spans="2:12">
      <c r="B81" s="15"/>
      <c r="C81" s="19"/>
      <c r="L81" s="14"/>
    </row>
    <row r="82" spans="2:12">
      <c r="B82" s="15"/>
      <c r="C82" s="19"/>
      <c r="L82" s="14"/>
    </row>
    <row r="83" spans="2:12">
      <c r="B83" s="15"/>
      <c r="C83" s="19"/>
      <c r="L83" s="14"/>
    </row>
    <row r="84" spans="2:12">
      <c r="B84" s="15"/>
      <c r="C84" s="19"/>
      <c r="L84" s="14"/>
    </row>
    <row r="85" spans="2:12">
      <c r="B85" s="15"/>
      <c r="C85" s="19"/>
      <c r="L85" s="14"/>
    </row>
    <row r="86" spans="2:12">
      <c r="B86" s="15"/>
      <c r="C86" s="19"/>
      <c r="L86" s="14"/>
    </row>
    <row r="87" spans="2:12">
      <c r="B87" s="15"/>
      <c r="C87" s="19"/>
      <c r="L87" s="14"/>
    </row>
    <row r="88" spans="2:12">
      <c r="B88" s="15"/>
      <c r="C88" s="19"/>
      <c r="L88" s="14"/>
    </row>
    <row r="89" spans="2:12">
      <c r="B89" s="15"/>
      <c r="C89" s="19"/>
      <c r="L89" s="14"/>
    </row>
    <row r="90" spans="2:12">
      <c r="B90" s="15"/>
      <c r="C90" s="19"/>
      <c r="L90" s="14"/>
    </row>
    <row r="91" spans="2:12">
      <c r="B91" s="15"/>
      <c r="C91" s="19"/>
      <c r="L91" s="14"/>
    </row>
    <row r="92" spans="2:12">
      <c r="B92" s="15"/>
      <c r="C92" s="19"/>
      <c r="G92" s="23"/>
      <c r="L92" s="14"/>
    </row>
    <row r="93" spans="2:12">
      <c r="B93" s="15"/>
      <c r="C93" s="19"/>
      <c r="G93" s="23"/>
      <c r="L93" s="14"/>
    </row>
    <row r="94" spans="2:12">
      <c r="B94" s="15"/>
      <c r="C94" s="19"/>
      <c r="G94" s="23"/>
      <c r="L94" s="14"/>
    </row>
    <row r="95" spans="2:12">
      <c r="B95" s="15"/>
      <c r="C95" s="19"/>
      <c r="G95" s="23"/>
      <c r="L95" s="14"/>
    </row>
    <row r="96" spans="2:12">
      <c r="B96" s="15"/>
      <c r="C96" s="19"/>
      <c r="L96" s="14"/>
    </row>
    <row r="97" spans="2:12">
      <c r="B97" s="15"/>
      <c r="C97" s="19"/>
      <c r="G97" s="23"/>
      <c r="L97" s="14"/>
    </row>
    <row r="98" spans="2:12">
      <c r="B98" s="15"/>
      <c r="C98" s="19"/>
      <c r="G98" s="23"/>
      <c r="L98" s="14"/>
    </row>
    <row r="99" spans="2:12">
      <c r="B99" s="15"/>
      <c r="C99" s="19"/>
      <c r="G99" s="23"/>
      <c r="L99" s="14"/>
    </row>
    <row r="100" spans="2:12">
      <c r="B100" s="15"/>
      <c r="C100" s="19"/>
      <c r="L100" s="14"/>
    </row>
    <row r="101" spans="2:12">
      <c r="B101" s="15"/>
      <c r="C101" s="19"/>
      <c r="G101" s="23"/>
      <c r="L101" s="14"/>
    </row>
    <row r="102" spans="2:12">
      <c r="B102" s="15"/>
      <c r="C102" s="19"/>
      <c r="G102" s="23"/>
    </row>
    <row r="103" spans="2:12">
      <c r="B103" s="15"/>
      <c r="C103" s="19"/>
      <c r="G103" s="23"/>
    </row>
    <row r="104" spans="2:12">
      <c r="B104" s="15"/>
      <c r="C104" s="19"/>
      <c r="G104" s="23"/>
    </row>
    <row r="105" spans="2:12">
      <c r="B105" s="15"/>
      <c r="C105" s="19"/>
      <c r="G105" s="23"/>
    </row>
    <row r="106" spans="2:12">
      <c r="B106" s="15"/>
      <c r="C106" s="19"/>
      <c r="G106" s="23"/>
    </row>
    <row r="107" spans="2:12">
      <c r="B107" s="15"/>
      <c r="C107" s="19"/>
      <c r="G107" s="23"/>
    </row>
    <row r="108" spans="2:12">
      <c r="B108" s="15"/>
      <c r="C108" s="19"/>
      <c r="G108" s="23"/>
    </row>
    <row r="109" spans="2:12">
      <c r="B109" s="15"/>
      <c r="C109" s="19"/>
      <c r="G109" s="23"/>
    </row>
  </sheetData>
  <dataValidations count="1">
    <dataValidation type="list" allowBlank="1" showInputMessage="1" showErrorMessage="1" sqref="F21:F44">
      <formula1>ACTIF</formula1>
    </dataValidation>
  </dataValidations>
  <pageMargins left="0.7" right="0.7" top="0.75" bottom="0.75" header="0.3" footer="0.3"/>
  <pageSetup paperSize="9"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sheetPr codeName="Feuil4"/>
  <dimension ref="A1"/>
  <sheetViews>
    <sheetView workbookViewId="0"/>
  </sheetViews>
  <sheetFormatPr baseColWidth="10" defaultRowHeight="14.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3</vt:i4>
      </vt:variant>
    </vt:vector>
  </HeadingPairs>
  <TitlesOfParts>
    <vt:vector size="7" baseType="lpstr">
      <vt:lpstr>Codebook</vt:lpstr>
      <vt:lpstr>log</vt:lpstr>
      <vt:lpstr>Dr House test</vt:lpstr>
      <vt:lpstr>Feuil1</vt:lpstr>
      <vt:lpstr>ACTIF</vt:lpstr>
      <vt:lpstr>Codebook!Impression_des_titres</vt:lpstr>
      <vt:lpstr>Codebook!Zone_d_impression</vt:lpstr>
    </vt:vector>
  </TitlesOfParts>
  <Company>CHUV | Centre hospitalier universitaire vaudois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Garnier Antoine (HOS36290)</dc:creator>
  <cp:lastModifiedBy>Garnier Antoine (HDESK4)</cp:lastModifiedBy>
  <cp:lastPrinted>2014-12-18T10:59:05Z</cp:lastPrinted>
  <dcterms:created xsi:type="dcterms:W3CDTF">2014-11-19T12:50:07Z</dcterms:created>
  <dcterms:modified xsi:type="dcterms:W3CDTF">2015-04-10T13:09:36Z</dcterms:modified>
</cp:coreProperties>
</file>